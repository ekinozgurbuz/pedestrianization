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kin\Desktop\ChapterThreeNew\experiment_outputs\PARIS SMALL LAST\"/>
    </mc:Choice>
  </mc:AlternateContent>
  <xr:revisionPtr revIDLastSave="0" documentId="13_ncr:1_{F0BB3AD8-4A6F-428F-B7E1-8E4924ADA67F}" xr6:coauthVersionLast="47" xr6:coauthVersionMax="47" xr10:uidLastSave="{00000000-0000-0000-0000-000000000000}"/>
  <bookViews>
    <workbookView xWindow="36" yWindow="384" windowWidth="23004" windowHeight="12288" xr2:uid="{00000000-000D-0000-FFFF-FFFF00000000}"/>
  </bookViews>
  <sheets>
    <sheet name="Experiment Characteristics" sheetId="1" r:id="rId1"/>
    <sheet name="Post-Experiment KPIs" sheetId="2" r:id="rId2"/>
    <sheet name="Real vs Model Overlap" sheetId="3" r:id="rId3"/>
    <sheet name="Separator Preprocess" sheetId="4" r:id="rId4"/>
    <sheet name="Separator Order Stats" sheetId="5" r:id="rId5"/>
    <sheet name="Separator Forbid Cut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1" l="1"/>
</calcChain>
</file>

<file path=xl/sharedStrings.xml><?xml version="1.0" encoding="utf-8"?>
<sst xmlns="http://schemas.openxmlformats.org/spreadsheetml/2006/main" count="218" uniqueCount="171">
  <si>
    <t>Section</t>
  </si>
  <si>
    <t>Metric</t>
  </si>
  <si>
    <t>Value</t>
  </si>
  <si>
    <t>INSTANCE</t>
  </si>
  <si>
    <t>Instance</t>
  </si>
  <si>
    <t>Paris Small</t>
  </si>
  <si>
    <t>GRAPH SIZE / STRUCTURE</t>
  </si>
  <si>
    <t>|E|</t>
  </si>
  <si>
    <t>|A|</t>
  </si>
  <si>
    <t>|A|/|E|</t>
  </si>
  <si>
    <t>\sigma(|A|/|E|)</t>
  </si>
  <si>
    <t>Avg. |N^{aggl}|</t>
  </si>
  <si>
    <t>ATTRACTIVITY / PROFIT</t>
  </si>
  <si>
    <t>Avg. p_e</t>
  </si>
  <si>
    <t>\sigma(p_e)</t>
  </si>
  <si>
    <t>Avg. \bar{p}^{aggl}</t>
  </si>
  <si>
    <t>Existing</t>
  </si>
  <si>
    <t>Post-Experiment</t>
  </si>
  <si>
    <t>Change (%)</t>
  </si>
  <si>
    <t>POST-EXPERIMENT KPI COMPARISON</t>
  </si>
  <si>
    <t>Pedestrianised Length</t>
  </si>
  <si>
    <t>Pedestrianised Share (%)</t>
  </si>
  <si>
    <t># Ped. Edges</t>
  </si>
  <si>
    <t>Base Benefit</t>
  </si>
  <si>
    <t>Agglom. Benefit</t>
  </si>
  <si>
    <t>Spillover Benefit</t>
  </si>
  <si>
    <t>Base Share (%)</t>
  </si>
  <si>
    <t>Agglom. Share (%)</t>
  </si>
  <si>
    <t>Spillover Share (%)</t>
  </si>
  <si>
    <t>B_max</t>
  </si>
  <si>
    <t>Objective / B_max</t>
  </si>
  <si>
    <t>Base / B_max</t>
  </si>
  <si>
    <t>Agglom. / B_max</t>
  </si>
  <si>
    <t>Spillover / B_max</t>
  </si>
  <si>
    <t>Benefit / m</t>
  </si>
  <si>
    <t>Base / m</t>
  </si>
  <si>
    <t>Agglom. / m</t>
  </si>
  <si>
    <t>Spillover / m</t>
  </si>
  <si>
    <t>Profit-Weighted Ped. Share (%)</t>
  </si>
  <si>
    <t>Ped. Components</t>
  </si>
  <si>
    <t>LPCC Length</t>
  </si>
  <si>
    <t>LPCC Share (%)</t>
  </si>
  <si>
    <t>Cyclomatic No.</t>
  </si>
  <si>
    <t>Meshedness</t>
  </si>
  <si>
    <t>Core Depth Max</t>
  </si>
  <si>
    <t>Core Depth Mean</t>
  </si>
  <si>
    <t>Core Depth Max / DeltaMax</t>
  </si>
  <si>
    <t>Core Depth Mean / DeltaMax</t>
  </si>
  <si>
    <t>Boundary Share (%)</t>
  </si>
  <si>
    <t>Mean Selected Percentile</t>
  </si>
  <si>
    <t>Median Selected Percentile</t>
  </si>
  <si>
    <t>Objective Value</t>
  </si>
  <si>
    <t>Runtime (s)</t>
  </si>
  <si>
    <t>Gap (%)</t>
  </si>
  <si>
    <t>Callback Calls</t>
  </si>
  <si>
    <t>Lazy Cuts</t>
  </si>
  <si>
    <t>Callback Time (s)</t>
  </si>
  <si>
    <t>Callback Share (%)</t>
  </si>
  <si>
    <t>Separator Preprocess Enabled</t>
  </si>
  <si>
    <t>Separator Preprocess Time (s)</t>
  </si>
  <si>
    <t>Static Forbid Cut Groups</t>
  </si>
  <si>
    <t>Static Implication Cut Groups</t>
  </si>
  <si>
    <t>Static Implication Rows</t>
  </si>
  <si>
    <t>Separator Order 1 Checked</t>
  </si>
  <si>
    <t>Separator Order 1 Forbid Cuts</t>
  </si>
  <si>
    <t>Separator Order 1 Implication Rows</t>
  </si>
  <si>
    <t>Separator Order 1 Time (s)</t>
  </si>
  <si>
    <t>Separator Order 2 Checked</t>
  </si>
  <si>
    <t>Separator Order 2 Forbid Cuts</t>
  </si>
  <si>
    <t>Separator Order 2 Implication Rows</t>
  </si>
  <si>
    <t>Separator Order 2 Time (s)</t>
  </si>
  <si>
    <t>KPI</t>
  </si>
  <si>
    <t>Interpretation</t>
  </si>
  <si>
    <t>Real pedestrianised edges</t>
  </si>
  <si>
    <t>Number of street segments pedestrianised in the real existing configuration.</t>
  </si>
  <si>
    <t>Model pedestrianised edges</t>
  </si>
  <si>
    <t>Number of street segments selected for pedestrianisation by the optimisation model.</t>
  </si>
  <si>
    <t>Common pedestrianised edges</t>
  </si>
  <si>
    <t>Number of street segments pedestrianised in both the real configuration and the model solution.</t>
  </si>
  <si>
    <t>Model-only pedestrianised edges</t>
  </si>
  <si>
    <t>Number of street segments selected by the model but not pedestrianised in the real configuration.</t>
  </si>
  <si>
    <t>Real-only pedestrianised edges</t>
  </si>
  <si>
    <t>Number of real pedestrianised street segments not selected by the model.</t>
  </si>
  <si>
    <t>Jaccard similarity (%)</t>
  </si>
  <si>
    <t>Intersection-over-union similarity between the real and model pedestrianised edge sets.</t>
  </si>
  <si>
    <t>Real recovery rate (%)</t>
  </si>
  <si>
    <t>Share of real pedestrianised edges recovered by the model.</t>
  </si>
  <si>
    <t>Model overlap rate (%)</t>
  </si>
  <si>
    <t>Share of model-selected pedestrianised edges that are also pedestrianised in the real configuration.</t>
  </si>
  <si>
    <t>Separator preprocessing enabled</t>
  </si>
  <si>
    <t>Yes</t>
  </si>
  <si>
    <t>Preprocessing time (s)</t>
  </si>
  <si>
    <t>Forbid cut groups generated</t>
  </si>
  <si>
    <t>Implication cut groups generated</t>
  </si>
  <si>
    <t>Implication rows generated</t>
  </si>
  <si>
    <t>Baseline - is_connected_initially</t>
  </si>
  <si>
    <t>Baseline - feasible</t>
  </si>
  <si>
    <t>Baseline - n_components</t>
  </si>
  <si>
    <t>Baseline - component_sizes</t>
  </si>
  <si>
    <t>[109]</t>
  </si>
  <si>
    <t>Baseline - feasible_survivor_components</t>
  </si>
  <si>
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</si>
  <si>
    <t>Order 1 - candidates checked</t>
  </si>
  <si>
    <t>Order 1 - forbid cuts generated</t>
  </si>
  <si>
    <t>Order 1 - implication rows generated</t>
  </si>
  <si>
    <t>Order 1 - preprocessing time (s)</t>
  </si>
  <si>
    <t>Order 2 - candidates checked</t>
  </si>
  <si>
    <t>Order 2 - forbid cuts generated</t>
  </si>
  <si>
    <t>Order 2 - implication rows generated</t>
  </si>
  <si>
    <t>Order 2 - preprocessing time (s)</t>
  </si>
  <si>
    <t>Order 2 - stopped by combination limit</t>
  </si>
  <si>
    <t>Order</t>
  </si>
  <si>
    <t>Candidates Checked</t>
  </si>
  <si>
    <t>Forbid Cuts Generated</t>
  </si>
  <si>
    <t>Implication Rows Generated</t>
  </si>
  <si>
    <t>Preprocessing Time (s)</t>
  </si>
  <si>
    <t>Stopped by Combination Limit</t>
  </si>
  <si>
    <t>Cut ID</t>
  </si>
  <si>
    <t>Separator Size</t>
  </si>
  <si>
    <t>Separator Edges</t>
  </si>
  <si>
    <t>Inequality</t>
  </si>
  <si>
    <t>30</t>
  </si>
  <si>
    <t>sum(Y_e for e in S) &lt;= 0</t>
  </si>
  <si>
    <t>101</t>
  </si>
  <si>
    <t>45</t>
  </si>
  <si>
    <t>150</t>
  </si>
  <si>
    <t>93</t>
  </si>
  <si>
    <t>152</t>
  </si>
  <si>
    <t>139</t>
  </si>
  <si>
    <t>138</t>
  </si>
  <si>
    <t>6</t>
  </si>
  <si>
    <t>7, 8</t>
  </si>
  <si>
    <t>sum(Y_e for e in S) &lt;= 1</t>
  </si>
  <si>
    <t>7, 144</t>
  </si>
  <si>
    <t>8, 100</t>
  </si>
  <si>
    <t>8, 144</t>
  </si>
  <si>
    <t>26, 27</t>
  </si>
  <si>
    <t>26, 67</t>
  </si>
  <si>
    <t>26, 68</t>
  </si>
  <si>
    <t>26, 102</t>
  </si>
  <si>
    <t>26, 153</t>
  </si>
  <si>
    <t>27, 67</t>
  </si>
  <si>
    <t>27, 68</t>
  </si>
  <si>
    <t>27, 102</t>
  </si>
  <si>
    <t>27, 153</t>
  </si>
  <si>
    <t>39, 120</t>
  </si>
  <si>
    <t>41, 126</t>
  </si>
  <si>
    <t>43, 60</t>
  </si>
  <si>
    <t>43, 149</t>
  </si>
  <si>
    <t>44, 60</t>
  </si>
  <si>
    <t>44, 94</t>
  </si>
  <si>
    <t>44, 149</t>
  </si>
  <si>
    <t>48, 59</t>
  </si>
  <si>
    <t>48, 96</t>
  </si>
  <si>
    <t>49, 57</t>
  </si>
  <si>
    <t>51, 88</t>
  </si>
  <si>
    <t>59, 96</t>
  </si>
  <si>
    <t>60, 94</t>
  </si>
  <si>
    <t>65, 88</t>
  </si>
  <si>
    <t>67, 68</t>
  </si>
  <si>
    <t>67, 153</t>
  </si>
  <si>
    <t>68, 102</t>
  </si>
  <si>
    <t>90, 92</t>
  </si>
  <si>
    <t>94, 149</t>
  </si>
  <si>
    <t>102, 153</t>
  </si>
  <si>
    <t>107, 108</t>
  </si>
  <si>
    <t>113, 114</t>
  </si>
  <si>
    <t>46 ped.</t>
  </si>
  <si>
    <t>21 ortak</t>
  </si>
  <si>
    <t>25 farklı</t>
  </si>
  <si>
    <t>109 mot.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</si>
</sst>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M17" sqref="M17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</row>
    <row r="2" spans="1:14" x14ac:dyDescent="0.3">
      <c r="A2" t="s">
        <v>3</v>
      </c>
    </row>
    <row r="3" spans="1:14" x14ac:dyDescent="0.3">
      <c r="B3" t="s">
        <v>4</v>
      </c>
      <c r="C3" t="s">
        <v>5</v>
      </c>
    </row>
    <row r="5" spans="1:14" x14ac:dyDescent="0.3">
      <c r="A5" t="s">
        <v>6</v>
      </c>
    </row>
    <row r="6" spans="1:14" x14ac:dyDescent="0.3">
      <c r="B6" t="s">
        <v>7</v>
      </c>
      <c r="C6">
        <v>155</v>
      </c>
    </row>
    <row r="7" spans="1:14" x14ac:dyDescent="0.3">
      <c r="B7" t="s">
        <v>8</v>
      </c>
      <c r="C7">
        <v>321</v>
      </c>
    </row>
    <row r="8" spans="1:14" x14ac:dyDescent="0.3">
      <c r="B8" t="s">
        <v>9</v>
      </c>
      <c r="C8">
        <v>2.0699999999999998</v>
      </c>
    </row>
    <row r="9" spans="1:14" x14ac:dyDescent="0.3">
      <c r="B9" t="s">
        <v>10</v>
      </c>
      <c r="C9">
        <v>1.04</v>
      </c>
    </row>
    <row r="10" spans="1:14" x14ac:dyDescent="0.3">
      <c r="B10" t="s">
        <v>11</v>
      </c>
      <c r="C10">
        <v>26.62</v>
      </c>
      <c r="J10">
        <v>155</v>
      </c>
      <c r="L10" t="s">
        <v>167</v>
      </c>
      <c r="N10" t="s">
        <v>170</v>
      </c>
    </row>
    <row r="12" spans="1:14" x14ac:dyDescent="0.3">
      <c r="A12" t="s">
        <v>12</v>
      </c>
      <c r="L12" t="s">
        <v>168</v>
      </c>
    </row>
    <row r="13" spans="1:14" x14ac:dyDescent="0.3">
      <c r="B13" t="s">
        <v>13</v>
      </c>
      <c r="C13">
        <v>11.38</v>
      </c>
      <c r="L13" t="s">
        <v>169</v>
      </c>
    </row>
    <row r="14" spans="1:14" x14ac:dyDescent="0.3">
      <c r="B14" t="s">
        <v>14</v>
      </c>
      <c r="C14">
        <v>9.98</v>
      </c>
    </row>
    <row r="15" spans="1:14" x14ac:dyDescent="0.3">
      <c r="B15" t="s">
        <v>15</v>
      </c>
      <c r="C15">
        <v>12.16</v>
      </c>
    </row>
    <row r="20" spans="11:11" x14ac:dyDescent="0.3">
      <c r="K20">
        <f>84+21</f>
        <v>105</v>
      </c>
    </row>
    <row r="21" spans="11:11" x14ac:dyDescent="0.3">
      <c r="K21">
        <v>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4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</row>
    <row r="2" spans="1:5" x14ac:dyDescent="0.3">
      <c r="A2" t="s">
        <v>19</v>
      </c>
    </row>
    <row r="4" spans="1:5" x14ac:dyDescent="0.3">
      <c r="B4" t="s">
        <v>20</v>
      </c>
      <c r="C4">
        <v>3509.49</v>
      </c>
      <c r="D4">
        <v>4678.3900000000003</v>
      </c>
      <c r="E4">
        <v>33.31</v>
      </c>
    </row>
    <row r="5" spans="1:5" x14ac:dyDescent="0.3">
      <c r="B5" t="s">
        <v>21</v>
      </c>
      <c r="C5">
        <v>32.03</v>
      </c>
      <c r="D5">
        <v>42.7</v>
      </c>
      <c r="E5">
        <v>33.31</v>
      </c>
    </row>
    <row r="6" spans="1:5" x14ac:dyDescent="0.3">
      <c r="B6" t="s">
        <v>22</v>
      </c>
      <c r="C6">
        <v>46</v>
      </c>
      <c r="D6">
        <v>46</v>
      </c>
      <c r="E6">
        <v>0</v>
      </c>
    </row>
    <row r="7" spans="1:5" x14ac:dyDescent="0.3">
      <c r="B7" t="s">
        <v>23</v>
      </c>
      <c r="C7">
        <v>633.4</v>
      </c>
      <c r="D7">
        <v>1003.61</v>
      </c>
      <c r="E7">
        <v>58.45</v>
      </c>
    </row>
    <row r="8" spans="1:5" x14ac:dyDescent="0.3">
      <c r="B8" t="s">
        <v>24</v>
      </c>
      <c r="C8">
        <v>0</v>
      </c>
      <c r="D8">
        <v>0</v>
      </c>
      <c r="E8">
        <v>0</v>
      </c>
    </row>
    <row r="9" spans="1:5" x14ac:dyDescent="0.3">
      <c r="B9" t="s">
        <v>25</v>
      </c>
      <c r="C9">
        <v>0</v>
      </c>
      <c r="D9">
        <v>0</v>
      </c>
      <c r="E9">
        <v>0</v>
      </c>
    </row>
    <row r="10" spans="1:5" x14ac:dyDescent="0.3">
      <c r="B10" t="s">
        <v>26</v>
      </c>
      <c r="C10">
        <v>100</v>
      </c>
      <c r="D10">
        <v>100</v>
      </c>
      <c r="E10">
        <v>0</v>
      </c>
    </row>
    <row r="11" spans="1:5" x14ac:dyDescent="0.3">
      <c r="B11" t="s">
        <v>27</v>
      </c>
      <c r="C11">
        <v>0</v>
      </c>
      <c r="D11">
        <v>0</v>
      </c>
      <c r="E11">
        <v>0</v>
      </c>
    </row>
    <row r="12" spans="1:5" x14ac:dyDescent="0.3">
      <c r="B12" t="s">
        <v>28</v>
      </c>
      <c r="C12">
        <v>0</v>
      </c>
      <c r="D12">
        <v>0</v>
      </c>
      <c r="E12">
        <v>0</v>
      </c>
    </row>
    <row r="13" spans="1:5" x14ac:dyDescent="0.3">
      <c r="B13" t="s">
        <v>29</v>
      </c>
      <c r="C13">
        <v>1763.56</v>
      </c>
      <c r="D13">
        <v>1763.56</v>
      </c>
      <c r="E13">
        <v>0</v>
      </c>
    </row>
    <row r="14" spans="1:5" x14ac:dyDescent="0.3">
      <c r="B14" t="s">
        <v>30</v>
      </c>
      <c r="C14">
        <v>0.36</v>
      </c>
      <c r="D14">
        <v>0.56999999999999995</v>
      </c>
      <c r="E14">
        <v>58.33</v>
      </c>
    </row>
    <row r="15" spans="1:5" x14ac:dyDescent="0.3">
      <c r="B15" t="s">
        <v>31</v>
      </c>
      <c r="C15">
        <v>0.36</v>
      </c>
      <c r="D15">
        <v>0.56999999999999995</v>
      </c>
      <c r="E15">
        <v>58.33</v>
      </c>
    </row>
    <row r="16" spans="1:5" x14ac:dyDescent="0.3">
      <c r="B16" t="s">
        <v>32</v>
      </c>
      <c r="C16">
        <v>0</v>
      </c>
      <c r="D16">
        <v>0</v>
      </c>
      <c r="E16">
        <v>0</v>
      </c>
    </row>
    <row r="17" spans="2:5" x14ac:dyDescent="0.3">
      <c r="B17" t="s">
        <v>33</v>
      </c>
      <c r="C17">
        <v>0</v>
      </c>
      <c r="D17">
        <v>0</v>
      </c>
      <c r="E17">
        <v>0</v>
      </c>
    </row>
    <row r="18" spans="2:5" x14ac:dyDescent="0.3">
      <c r="B18" t="s">
        <v>34</v>
      </c>
      <c r="C18">
        <v>0.18</v>
      </c>
      <c r="D18">
        <v>0.21</v>
      </c>
      <c r="E18">
        <v>16.670000000000002</v>
      </c>
    </row>
    <row r="19" spans="2:5" x14ac:dyDescent="0.3">
      <c r="B19" t="s">
        <v>35</v>
      </c>
      <c r="C19">
        <v>0.18</v>
      </c>
      <c r="D19">
        <v>0.21</v>
      </c>
      <c r="E19">
        <v>16.670000000000002</v>
      </c>
    </row>
    <row r="20" spans="2:5" x14ac:dyDescent="0.3">
      <c r="B20" t="s">
        <v>36</v>
      </c>
      <c r="C20">
        <v>0</v>
      </c>
      <c r="D20">
        <v>0</v>
      </c>
      <c r="E20">
        <v>0</v>
      </c>
    </row>
    <row r="21" spans="2:5" x14ac:dyDescent="0.3">
      <c r="B21" t="s">
        <v>37</v>
      </c>
      <c r="C21">
        <v>0</v>
      </c>
      <c r="D21">
        <v>0</v>
      </c>
      <c r="E21">
        <v>0</v>
      </c>
    </row>
    <row r="22" spans="2:5" x14ac:dyDescent="0.3">
      <c r="B22" t="s">
        <v>38</v>
      </c>
      <c r="C22">
        <v>35.92</v>
      </c>
      <c r="D22">
        <v>56.91</v>
      </c>
      <c r="E22">
        <v>58.44</v>
      </c>
    </row>
    <row r="23" spans="2:5" x14ac:dyDescent="0.3">
      <c r="B23" t="s">
        <v>39</v>
      </c>
      <c r="C23">
        <v>12</v>
      </c>
      <c r="D23">
        <v>25</v>
      </c>
      <c r="E23">
        <v>108.33</v>
      </c>
    </row>
    <row r="24" spans="2:5" x14ac:dyDescent="0.3">
      <c r="B24" t="s">
        <v>40</v>
      </c>
      <c r="C24">
        <v>2518.3000000000002</v>
      </c>
      <c r="D24">
        <v>758.47</v>
      </c>
      <c r="E24">
        <v>-69.88</v>
      </c>
    </row>
    <row r="25" spans="2:5" x14ac:dyDescent="0.3">
      <c r="B25" t="s">
        <v>41</v>
      </c>
      <c r="C25">
        <v>71.760000000000005</v>
      </c>
      <c r="D25">
        <v>16.21</v>
      </c>
      <c r="E25">
        <v>-77.41</v>
      </c>
    </row>
    <row r="26" spans="2:5" x14ac:dyDescent="0.3">
      <c r="B26" t="s">
        <v>42</v>
      </c>
      <c r="C26">
        <v>5</v>
      </c>
      <c r="D26">
        <v>0</v>
      </c>
      <c r="E26">
        <v>-100</v>
      </c>
    </row>
    <row r="27" spans="2:5" x14ac:dyDescent="0.3">
      <c r="B27" t="s">
        <v>43</v>
      </c>
      <c r="C27">
        <v>0.11</v>
      </c>
      <c r="D27">
        <v>0</v>
      </c>
      <c r="E27">
        <v>-100</v>
      </c>
    </row>
    <row r="28" spans="2:5" x14ac:dyDescent="0.3">
      <c r="B28" t="s">
        <v>44</v>
      </c>
      <c r="C28">
        <v>296.14</v>
      </c>
      <c r="D28">
        <v>24.92</v>
      </c>
      <c r="E28">
        <v>-91.59</v>
      </c>
    </row>
    <row r="29" spans="2:5" x14ac:dyDescent="0.3">
      <c r="B29" t="s">
        <v>45</v>
      </c>
      <c r="C29">
        <v>79.25</v>
      </c>
      <c r="D29">
        <v>0.54</v>
      </c>
      <c r="E29">
        <v>-99.32</v>
      </c>
    </row>
    <row r="30" spans="2:5" x14ac:dyDescent="0.3">
      <c r="B30" t="s">
        <v>46</v>
      </c>
      <c r="C30">
        <v>0.3</v>
      </c>
      <c r="D30">
        <v>0.02</v>
      </c>
      <c r="E30">
        <v>-93.33</v>
      </c>
    </row>
    <row r="31" spans="2:5" x14ac:dyDescent="0.3">
      <c r="B31" t="s">
        <v>47</v>
      </c>
      <c r="C31">
        <v>0.08</v>
      </c>
      <c r="D31">
        <v>0</v>
      </c>
      <c r="E31">
        <v>-100</v>
      </c>
    </row>
    <row r="32" spans="2:5" x14ac:dyDescent="0.3">
      <c r="B32" t="s">
        <v>48</v>
      </c>
      <c r="C32">
        <v>44.38</v>
      </c>
      <c r="D32">
        <v>98.23</v>
      </c>
      <c r="E32">
        <v>121.34</v>
      </c>
    </row>
    <row r="33" spans="2:5" x14ac:dyDescent="0.3">
      <c r="B33" t="s">
        <v>49</v>
      </c>
      <c r="C33">
        <v>54.98</v>
      </c>
      <c r="D33">
        <v>81.39</v>
      </c>
      <c r="E33">
        <v>48.04</v>
      </c>
    </row>
    <row r="34" spans="2:5" x14ac:dyDescent="0.3">
      <c r="B34" t="s">
        <v>50</v>
      </c>
      <c r="C34">
        <v>53.25</v>
      </c>
      <c r="D34">
        <v>84.42</v>
      </c>
      <c r="E34">
        <v>58.54</v>
      </c>
    </row>
    <row r="35" spans="2:5" x14ac:dyDescent="0.3">
      <c r="B35" t="s">
        <v>51</v>
      </c>
      <c r="C35">
        <v>633.4</v>
      </c>
      <c r="D35">
        <v>1003.61</v>
      </c>
      <c r="E35">
        <v>58.45</v>
      </c>
    </row>
    <row r="36" spans="2:5" x14ac:dyDescent="0.3">
      <c r="B36" t="s">
        <v>52</v>
      </c>
      <c r="C36">
        <v>0</v>
      </c>
      <c r="D36">
        <v>10.99</v>
      </c>
    </row>
    <row r="37" spans="2:5" x14ac:dyDescent="0.3">
      <c r="B37" t="s">
        <v>53</v>
      </c>
      <c r="C37">
        <v>0</v>
      </c>
      <c r="D37">
        <v>0</v>
      </c>
      <c r="E37">
        <v>0</v>
      </c>
    </row>
    <row r="38" spans="2:5" x14ac:dyDescent="0.3">
      <c r="B38" t="s">
        <v>54</v>
      </c>
      <c r="C38">
        <v>0</v>
      </c>
      <c r="D38">
        <v>149</v>
      </c>
    </row>
    <row r="39" spans="2:5" x14ac:dyDescent="0.3">
      <c r="B39" t="s">
        <v>55</v>
      </c>
      <c r="C39">
        <v>0</v>
      </c>
      <c r="D39">
        <v>422</v>
      </c>
    </row>
    <row r="40" spans="2:5" x14ac:dyDescent="0.3">
      <c r="B40" t="s">
        <v>56</v>
      </c>
      <c r="C40">
        <v>0</v>
      </c>
      <c r="D40">
        <v>0.28000000000000003</v>
      </c>
    </row>
    <row r="41" spans="2:5" x14ac:dyDescent="0.3">
      <c r="B41" t="s">
        <v>57</v>
      </c>
      <c r="C41">
        <v>0</v>
      </c>
      <c r="D41">
        <v>2.57</v>
      </c>
    </row>
    <row r="42" spans="2:5" x14ac:dyDescent="0.3">
      <c r="B42" t="s">
        <v>58</v>
      </c>
      <c r="D42">
        <v>1</v>
      </c>
    </row>
    <row r="43" spans="2:5" x14ac:dyDescent="0.3">
      <c r="B43" t="s">
        <v>59</v>
      </c>
      <c r="D43">
        <v>1.9158999999999999</v>
      </c>
    </row>
    <row r="44" spans="2:5" x14ac:dyDescent="0.3">
      <c r="B44" t="s">
        <v>60</v>
      </c>
      <c r="D44">
        <v>44</v>
      </c>
    </row>
    <row r="45" spans="2:5" x14ac:dyDescent="0.3">
      <c r="B45" t="s">
        <v>61</v>
      </c>
      <c r="D45">
        <v>0</v>
      </c>
    </row>
    <row r="46" spans="2:5" x14ac:dyDescent="0.3">
      <c r="B46" t="s">
        <v>62</v>
      </c>
      <c r="D46">
        <v>0</v>
      </c>
    </row>
    <row r="47" spans="2:5" x14ac:dyDescent="0.3">
      <c r="B47" t="s">
        <v>63</v>
      </c>
      <c r="D47">
        <v>9</v>
      </c>
    </row>
    <row r="48" spans="2:5" x14ac:dyDescent="0.3">
      <c r="B48" t="s">
        <v>64</v>
      </c>
      <c r="D48">
        <v>9</v>
      </c>
    </row>
    <row r="49" spans="2:4" x14ac:dyDescent="0.3">
      <c r="B49" t="s">
        <v>65</v>
      </c>
      <c r="D49">
        <v>0</v>
      </c>
    </row>
    <row r="50" spans="2:4" x14ac:dyDescent="0.3">
      <c r="B50" t="s">
        <v>66</v>
      </c>
      <c r="D50">
        <v>4.0000000000000001E-3</v>
      </c>
    </row>
    <row r="51" spans="2:4" x14ac:dyDescent="0.3">
      <c r="B51" t="s">
        <v>67</v>
      </c>
      <c r="D51">
        <v>5886</v>
      </c>
    </row>
    <row r="52" spans="2:4" x14ac:dyDescent="0.3">
      <c r="B52" t="s">
        <v>68</v>
      </c>
      <c r="D52">
        <v>35</v>
      </c>
    </row>
    <row r="53" spans="2:4" x14ac:dyDescent="0.3">
      <c r="B53" t="s">
        <v>69</v>
      </c>
      <c r="D53">
        <v>0</v>
      </c>
    </row>
    <row r="54" spans="2:4" x14ac:dyDescent="0.3">
      <c r="B54" t="s">
        <v>70</v>
      </c>
      <c r="D54">
        <v>1.9109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4.4" x14ac:dyDescent="0.3"/>
  <sheetData>
    <row r="1" spans="1:3" x14ac:dyDescent="0.3">
      <c r="A1" s="1" t="s">
        <v>71</v>
      </c>
      <c r="B1" s="1" t="s">
        <v>2</v>
      </c>
      <c r="C1" s="1" t="s">
        <v>72</v>
      </c>
    </row>
    <row r="2" spans="1:3" x14ac:dyDescent="0.3">
      <c r="A2" t="s">
        <v>73</v>
      </c>
      <c r="B2">
        <v>46</v>
      </c>
      <c r="C2" t="s">
        <v>74</v>
      </c>
    </row>
    <row r="3" spans="1:3" x14ac:dyDescent="0.3">
      <c r="A3" t="s">
        <v>75</v>
      </c>
      <c r="B3">
        <v>46</v>
      </c>
      <c r="C3" t="s">
        <v>76</v>
      </c>
    </row>
    <row r="4" spans="1:3" x14ac:dyDescent="0.3">
      <c r="A4" t="s">
        <v>77</v>
      </c>
      <c r="B4">
        <v>18</v>
      </c>
      <c r="C4" t="s">
        <v>78</v>
      </c>
    </row>
    <row r="5" spans="1:3" x14ac:dyDescent="0.3">
      <c r="A5" t="s">
        <v>79</v>
      </c>
      <c r="B5">
        <v>28</v>
      </c>
      <c r="C5" t="s">
        <v>80</v>
      </c>
    </row>
    <row r="6" spans="1:3" x14ac:dyDescent="0.3">
      <c r="A6" t="s">
        <v>81</v>
      </c>
      <c r="B6">
        <v>28</v>
      </c>
      <c r="C6" t="s">
        <v>82</v>
      </c>
    </row>
    <row r="7" spans="1:3" x14ac:dyDescent="0.3">
      <c r="A7" t="s">
        <v>83</v>
      </c>
      <c r="B7">
        <v>24.32</v>
      </c>
      <c r="C7" t="s">
        <v>84</v>
      </c>
    </row>
    <row r="8" spans="1:3" x14ac:dyDescent="0.3">
      <c r="A8" t="s">
        <v>85</v>
      </c>
      <c r="B8">
        <v>39.130000000000003</v>
      </c>
      <c r="C8" t="s">
        <v>86</v>
      </c>
    </row>
    <row r="9" spans="1:3" x14ac:dyDescent="0.3">
      <c r="A9" t="s">
        <v>87</v>
      </c>
      <c r="B9">
        <v>39.130000000000003</v>
      </c>
      <c r="C9" t="s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workbookViewId="0"/>
  </sheetViews>
  <sheetFormatPr defaultRowHeight="14.4" x14ac:dyDescent="0.3"/>
  <sheetData>
    <row r="1" spans="1:2" x14ac:dyDescent="0.3">
      <c r="A1" s="1" t="s">
        <v>1</v>
      </c>
      <c r="B1" s="1" t="s">
        <v>2</v>
      </c>
    </row>
    <row r="2" spans="1:2" x14ac:dyDescent="0.3">
      <c r="A2" t="s">
        <v>89</v>
      </c>
      <c r="B2" t="s">
        <v>90</v>
      </c>
    </row>
    <row r="3" spans="1:2" x14ac:dyDescent="0.3">
      <c r="A3" t="s">
        <v>91</v>
      </c>
      <c r="B3">
        <v>1.9158999999999999</v>
      </c>
    </row>
    <row r="4" spans="1:2" x14ac:dyDescent="0.3">
      <c r="A4" t="s">
        <v>92</v>
      </c>
      <c r="B4">
        <v>44</v>
      </c>
    </row>
    <row r="5" spans="1:2" x14ac:dyDescent="0.3">
      <c r="A5" t="s">
        <v>93</v>
      </c>
      <c r="B5">
        <v>0</v>
      </c>
    </row>
    <row r="6" spans="1:2" x14ac:dyDescent="0.3">
      <c r="A6" t="s">
        <v>94</v>
      </c>
      <c r="B6">
        <v>0</v>
      </c>
    </row>
    <row r="7" spans="1:2" x14ac:dyDescent="0.3">
      <c r="A7" t="s">
        <v>95</v>
      </c>
      <c r="B7" t="b">
        <v>1</v>
      </c>
    </row>
    <row r="8" spans="1:2" x14ac:dyDescent="0.3">
      <c r="A8" t="s">
        <v>96</v>
      </c>
      <c r="B8" t="b">
        <v>1</v>
      </c>
    </row>
    <row r="9" spans="1:2" x14ac:dyDescent="0.3">
      <c r="A9" t="s">
        <v>97</v>
      </c>
      <c r="B9">
        <v>1</v>
      </c>
    </row>
    <row r="10" spans="1:2" x14ac:dyDescent="0.3">
      <c r="A10" t="s">
        <v>98</v>
      </c>
      <c r="B10" t="s">
        <v>99</v>
      </c>
    </row>
    <row r="11" spans="1:2" x14ac:dyDescent="0.3">
      <c r="A11" t="s">
        <v>100</v>
      </c>
      <c r="B11" t="s">
        <v>101</v>
      </c>
    </row>
    <row r="12" spans="1:2" x14ac:dyDescent="0.3">
      <c r="A12" t="s">
        <v>102</v>
      </c>
      <c r="B12">
        <v>9</v>
      </c>
    </row>
    <row r="13" spans="1:2" x14ac:dyDescent="0.3">
      <c r="A13" t="s">
        <v>103</v>
      </c>
      <c r="B13">
        <v>9</v>
      </c>
    </row>
    <row r="14" spans="1:2" x14ac:dyDescent="0.3">
      <c r="A14" t="s">
        <v>104</v>
      </c>
      <c r="B14">
        <v>0</v>
      </c>
    </row>
    <row r="15" spans="1:2" x14ac:dyDescent="0.3">
      <c r="A15" t="s">
        <v>105</v>
      </c>
      <c r="B15">
        <v>4.0000000000000001E-3</v>
      </c>
    </row>
    <row r="16" spans="1:2" x14ac:dyDescent="0.3">
      <c r="A16" t="s">
        <v>106</v>
      </c>
      <c r="B16">
        <v>5886</v>
      </c>
    </row>
    <row r="17" spans="1:2" x14ac:dyDescent="0.3">
      <c r="A17" t="s">
        <v>107</v>
      </c>
      <c r="B17">
        <v>35</v>
      </c>
    </row>
    <row r="18" spans="1:2" x14ac:dyDescent="0.3">
      <c r="A18" t="s">
        <v>108</v>
      </c>
      <c r="B18">
        <v>0</v>
      </c>
    </row>
    <row r="19" spans="1:2" x14ac:dyDescent="0.3">
      <c r="A19" t="s">
        <v>109</v>
      </c>
      <c r="B19">
        <v>1.9109</v>
      </c>
    </row>
    <row r="20" spans="1:2" x14ac:dyDescent="0.3">
      <c r="A20" t="s">
        <v>110</v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workbookViewId="0"/>
  </sheetViews>
  <sheetFormatPr defaultRowHeight="14.4" x14ac:dyDescent="0.3"/>
  <sheetData>
    <row r="1" spans="1:6" x14ac:dyDescent="0.3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</row>
    <row r="2" spans="1:6" x14ac:dyDescent="0.3">
      <c r="A2">
        <v>1</v>
      </c>
      <c r="B2">
        <v>9</v>
      </c>
      <c r="C2">
        <v>9</v>
      </c>
      <c r="D2">
        <v>0</v>
      </c>
      <c r="E2">
        <v>4.0000000000000001E-3</v>
      </c>
    </row>
    <row r="3" spans="1:6" x14ac:dyDescent="0.3">
      <c r="A3">
        <v>2</v>
      </c>
      <c r="B3">
        <v>5886</v>
      </c>
      <c r="C3">
        <v>35</v>
      </c>
      <c r="D3">
        <v>0</v>
      </c>
      <c r="E3">
        <v>1.9109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5"/>
  <sheetViews>
    <sheetView workbookViewId="0"/>
  </sheetViews>
  <sheetFormatPr defaultRowHeight="14.4" x14ac:dyDescent="0.3"/>
  <sheetData>
    <row r="1" spans="1:4" x14ac:dyDescent="0.3">
      <c r="A1" s="1" t="s">
        <v>117</v>
      </c>
      <c r="B1" s="1" t="s">
        <v>118</v>
      </c>
      <c r="C1" s="1" t="s">
        <v>119</v>
      </c>
      <c r="D1" s="1" t="s">
        <v>120</v>
      </c>
    </row>
    <row r="2" spans="1:4" x14ac:dyDescent="0.3">
      <c r="A2">
        <v>1</v>
      </c>
      <c r="B2">
        <v>1</v>
      </c>
      <c r="C2" t="s">
        <v>121</v>
      </c>
      <c r="D2" t="s">
        <v>122</v>
      </c>
    </row>
    <row r="3" spans="1:4" x14ac:dyDescent="0.3">
      <c r="A3">
        <v>2</v>
      </c>
      <c r="B3">
        <v>1</v>
      </c>
      <c r="C3" t="s">
        <v>123</v>
      </c>
      <c r="D3" t="s">
        <v>122</v>
      </c>
    </row>
    <row r="4" spans="1:4" x14ac:dyDescent="0.3">
      <c r="A4">
        <v>3</v>
      </c>
      <c r="B4">
        <v>1</v>
      </c>
      <c r="C4" t="s">
        <v>124</v>
      </c>
      <c r="D4" t="s">
        <v>122</v>
      </c>
    </row>
    <row r="5" spans="1:4" x14ac:dyDescent="0.3">
      <c r="A5">
        <v>4</v>
      </c>
      <c r="B5">
        <v>1</v>
      </c>
      <c r="C5" t="s">
        <v>125</v>
      </c>
      <c r="D5" t="s">
        <v>122</v>
      </c>
    </row>
    <row r="6" spans="1:4" x14ac:dyDescent="0.3">
      <c r="A6">
        <v>5</v>
      </c>
      <c r="B6">
        <v>1</v>
      </c>
      <c r="C6" t="s">
        <v>126</v>
      </c>
      <c r="D6" t="s">
        <v>122</v>
      </c>
    </row>
    <row r="7" spans="1:4" x14ac:dyDescent="0.3">
      <c r="A7">
        <v>6</v>
      </c>
      <c r="B7">
        <v>1</v>
      </c>
      <c r="C7" t="s">
        <v>127</v>
      </c>
      <c r="D7" t="s">
        <v>122</v>
      </c>
    </row>
    <row r="8" spans="1:4" x14ac:dyDescent="0.3">
      <c r="A8">
        <v>7</v>
      </c>
      <c r="B8">
        <v>1</v>
      </c>
      <c r="C8" t="s">
        <v>128</v>
      </c>
      <c r="D8" t="s">
        <v>122</v>
      </c>
    </row>
    <row r="9" spans="1:4" x14ac:dyDescent="0.3">
      <c r="A9">
        <v>8</v>
      </c>
      <c r="B9">
        <v>1</v>
      </c>
      <c r="C9" t="s">
        <v>129</v>
      </c>
      <c r="D9" t="s">
        <v>122</v>
      </c>
    </row>
    <row r="10" spans="1:4" x14ac:dyDescent="0.3">
      <c r="A10">
        <v>9</v>
      </c>
      <c r="B10">
        <v>1</v>
      </c>
      <c r="C10" t="s">
        <v>130</v>
      </c>
      <c r="D10" t="s">
        <v>122</v>
      </c>
    </row>
    <row r="11" spans="1:4" x14ac:dyDescent="0.3">
      <c r="A11">
        <v>10</v>
      </c>
      <c r="B11">
        <v>2</v>
      </c>
      <c r="C11" t="s">
        <v>131</v>
      </c>
      <c r="D11" t="s">
        <v>132</v>
      </c>
    </row>
    <row r="12" spans="1:4" x14ac:dyDescent="0.3">
      <c r="A12">
        <v>11</v>
      </c>
      <c r="B12">
        <v>2</v>
      </c>
      <c r="C12" t="s">
        <v>133</v>
      </c>
      <c r="D12" t="s">
        <v>132</v>
      </c>
    </row>
    <row r="13" spans="1:4" x14ac:dyDescent="0.3">
      <c r="A13">
        <v>12</v>
      </c>
      <c r="B13">
        <v>2</v>
      </c>
      <c r="C13" t="s">
        <v>134</v>
      </c>
      <c r="D13" t="s">
        <v>132</v>
      </c>
    </row>
    <row r="14" spans="1:4" x14ac:dyDescent="0.3">
      <c r="A14">
        <v>13</v>
      </c>
      <c r="B14">
        <v>2</v>
      </c>
      <c r="C14" t="s">
        <v>135</v>
      </c>
      <c r="D14" t="s">
        <v>132</v>
      </c>
    </row>
    <row r="15" spans="1:4" x14ac:dyDescent="0.3">
      <c r="A15">
        <v>14</v>
      </c>
      <c r="B15">
        <v>2</v>
      </c>
      <c r="C15" t="s">
        <v>136</v>
      </c>
      <c r="D15" t="s">
        <v>132</v>
      </c>
    </row>
    <row r="16" spans="1:4" x14ac:dyDescent="0.3">
      <c r="A16">
        <v>15</v>
      </c>
      <c r="B16">
        <v>2</v>
      </c>
      <c r="C16" t="s">
        <v>137</v>
      </c>
      <c r="D16" t="s">
        <v>132</v>
      </c>
    </row>
    <row r="17" spans="1:4" x14ac:dyDescent="0.3">
      <c r="A17">
        <v>16</v>
      </c>
      <c r="B17">
        <v>2</v>
      </c>
      <c r="C17" t="s">
        <v>138</v>
      </c>
      <c r="D17" t="s">
        <v>132</v>
      </c>
    </row>
    <row r="18" spans="1:4" x14ac:dyDescent="0.3">
      <c r="A18">
        <v>17</v>
      </c>
      <c r="B18">
        <v>2</v>
      </c>
      <c r="C18" t="s">
        <v>139</v>
      </c>
      <c r="D18" t="s">
        <v>132</v>
      </c>
    </row>
    <row r="19" spans="1:4" x14ac:dyDescent="0.3">
      <c r="A19">
        <v>18</v>
      </c>
      <c r="B19">
        <v>2</v>
      </c>
      <c r="C19" t="s">
        <v>140</v>
      </c>
      <c r="D19" t="s">
        <v>132</v>
      </c>
    </row>
    <row r="20" spans="1:4" x14ac:dyDescent="0.3">
      <c r="A20">
        <v>19</v>
      </c>
      <c r="B20">
        <v>2</v>
      </c>
      <c r="C20" t="s">
        <v>141</v>
      </c>
      <c r="D20" t="s">
        <v>132</v>
      </c>
    </row>
    <row r="21" spans="1:4" x14ac:dyDescent="0.3">
      <c r="A21">
        <v>20</v>
      </c>
      <c r="B21">
        <v>2</v>
      </c>
      <c r="C21" t="s">
        <v>142</v>
      </c>
      <c r="D21" t="s">
        <v>132</v>
      </c>
    </row>
    <row r="22" spans="1:4" x14ac:dyDescent="0.3">
      <c r="A22">
        <v>21</v>
      </c>
      <c r="B22">
        <v>2</v>
      </c>
      <c r="C22" t="s">
        <v>143</v>
      </c>
      <c r="D22" t="s">
        <v>132</v>
      </c>
    </row>
    <row r="23" spans="1:4" x14ac:dyDescent="0.3">
      <c r="A23">
        <v>22</v>
      </c>
      <c r="B23">
        <v>2</v>
      </c>
      <c r="C23" t="s">
        <v>144</v>
      </c>
      <c r="D23" t="s">
        <v>132</v>
      </c>
    </row>
    <row r="24" spans="1:4" x14ac:dyDescent="0.3">
      <c r="A24">
        <v>23</v>
      </c>
      <c r="B24">
        <v>2</v>
      </c>
      <c r="C24" t="s">
        <v>145</v>
      </c>
      <c r="D24" t="s">
        <v>132</v>
      </c>
    </row>
    <row r="25" spans="1:4" x14ac:dyDescent="0.3">
      <c r="A25">
        <v>24</v>
      </c>
      <c r="B25">
        <v>2</v>
      </c>
      <c r="C25" t="s">
        <v>146</v>
      </c>
      <c r="D25" t="s">
        <v>132</v>
      </c>
    </row>
    <row r="26" spans="1:4" x14ac:dyDescent="0.3">
      <c r="A26">
        <v>25</v>
      </c>
      <c r="B26">
        <v>2</v>
      </c>
      <c r="C26" t="s">
        <v>147</v>
      </c>
      <c r="D26" t="s">
        <v>132</v>
      </c>
    </row>
    <row r="27" spans="1:4" x14ac:dyDescent="0.3">
      <c r="A27">
        <v>26</v>
      </c>
      <c r="B27">
        <v>2</v>
      </c>
      <c r="C27" t="s">
        <v>148</v>
      </c>
      <c r="D27" t="s">
        <v>132</v>
      </c>
    </row>
    <row r="28" spans="1:4" x14ac:dyDescent="0.3">
      <c r="A28">
        <v>27</v>
      </c>
      <c r="B28">
        <v>2</v>
      </c>
      <c r="C28" t="s">
        <v>149</v>
      </c>
      <c r="D28" t="s">
        <v>132</v>
      </c>
    </row>
    <row r="29" spans="1:4" x14ac:dyDescent="0.3">
      <c r="A29">
        <v>28</v>
      </c>
      <c r="B29">
        <v>2</v>
      </c>
      <c r="C29" t="s">
        <v>150</v>
      </c>
      <c r="D29" t="s">
        <v>132</v>
      </c>
    </row>
    <row r="30" spans="1:4" x14ac:dyDescent="0.3">
      <c r="A30">
        <v>29</v>
      </c>
      <c r="B30">
        <v>2</v>
      </c>
      <c r="C30" t="s">
        <v>151</v>
      </c>
      <c r="D30" t="s">
        <v>132</v>
      </c>
    </row>
    <row r="31" spans="1:4" x14ac:dyDescent="0.3">
      <c r="A31">
        <v>30</v>
      </c>
      <c r="B31">
        <v>2</v>
      </c>
      <c r="C31" t="s">
        <v>152</v>
      </c>
      <c r="D31" t="s">
        <v>132</v>
      </c>
    </row>
    <row r="32" spans="1:4" x14ac:dyDescent="0.3">
      <c r="A32">
        <v>31</v>
      </c>
      <c r="B32">
        <v>2</v>
      </c>
      <c r="C32" t="s">
        <v>153</v>
      </c>
      <c r="D32" t="s">
        <v>132</v>
      </c>
    </row>
    <row r="33" spans="1:4" x14ac:dyDescent="0.3">
      <c r="A33">
        <v>32</v>
      </c>
      <c r="B33">
        <v>2</v>
      </c>
      <c r="C33" t="s">
        <v>154</v>
      </c>
      <c r="D33" t="s">
        <v>132</v>
      </c>
    </row>
    <row r="34" spans="1:4" x14ac:dyDescent="0.3">
      <c r="A34">
        <v>33</v>
      </c>
      <c r="B34">
        <v>2</v>
      </c>
      <c r="C34" t="s">
        <v>155</v>
      </c>
      <c r="D34" t="s">
        <v>132</v>
      </c>
    </row>
    <row r="35" spans="1:4" x14ac:dyDescent="0.3">
      <c r="A35">
        <v>34</v>
      </c>
      <c r="B35">
        <v>2</v>
      </c>
      <c r="C35" t="s">
        <v>156</v>
      </c>
      <c r="D35" t="s">
        <v>132</v>
      </c>
    </row>
    <row r="36" spans="1:4" x14ac:dyDescent="0.3">
      <c r="A36">
        <v>35</v>
      </c>
      <c r="B36">
        <v>2</v>
      </c>
      <c r="C36" t="s">
        <v>157</v>
      </c>
      <c r="D36" t="s">
        <v>132</v>
      </c>
    </row>
    <row r="37" spans="1:4" x14ac:dyDescent="0.3">
      <c r="A37">
        <v>36</v>
      </c>
      <c r="B37">
        <v>2</v>
      </c>
      <c r="C37" t="s">
        <v>158</v>
      </c>
      <c r="D37" t="s">
        <v>132</v>
      </c>
    </row>
    <row r="38" spans="1:4" x14ac:dyDescent="0.3">
      <c r="A38">
        <v>37</v>
      </c>
      <c r="B38">
        <v>2</v>
      </c>
      <c r="C38" t="s">
        <v>159</v>
      </c>
      <c r="D38" t="s">
        <v>132</v>
      </c>
    </row>
    <row r="39" spans="1:4" x14ac:dyDescent="0.3">
      <c r="A39">
        <v>38</v>
      </c>
      <c r="B39">
        <v>2</v>
      </c>
      <c r="C39" t="s">
        <v>160</v>
      </c>
      <c r="D39" t="s">
        <v>132</v>
      </c>
    </row>
    <row r="40" spans="1:4" x14ac:dyDescent="0.3">
      <c r="A40">
        <v>39</v>
      </c>
      <c r="B40">
        <v>2</v>
      </c>
      <c r="C40" t="s">
        <v>161</v>
      </c>
      <c r="D40" t="s">
        <v>132</v>
      </c>
    </row>
    <row r="41" spans="1:4" x14ac:dyDescent="0.3">
      <c r="A41">
        <v>40</v>
      </c>
      <c r="B41">
        <v>2</v>
      </c>
      <c r="C41" t="s">
        <v>162</v>
      </c>
      <c r="D41" t="s">
        <v>132</v>
      </c>
    </row>
    <row r="42" spans="1:4" x14ac:dyDescent="0.3">
      <c r="A42">
        <v>41</v>
      </c>
      <c r="B42">
        <v>2</v>
      </c>
      <c r="C42" t="s">
        <v>163</v>
      </c>
      <c r="D42" t="s">
        <v>132</v>
      </c>
    </row>
    <row r="43" spans="1:4" x14ac:dyDescent="0.3">
      <c r="A43">
        <v>42</v>
      </c>
      <c r="B43">
        <v>2</v>
      </c>
      <c r="C43" t="s">
        <v>164</v>
      </c>
      <c r="D43" t="s">
        <v>132</v>
      </c>
    </row>
    <row r="44" spans="1:4" x14ac:dyDescent="0.3">
      <c r="A44">
        <v>43</v>
      </c>
      <c r="B44">
        <v>2</v>
      </c>
      <c r="C44" t="s">
        <v>165</v>
      </c>
      <c r="D44" t="s">
        <v>132</v>
      </c>
    </row>
    <row r="45" spans="1:4" x14ac:dyDescent="0.3">
      <c r="A45">
        <v>44</v>
      </c>
      <c r="B45">
        <v>2</v>
      </c>
      <c r="C45" t="s">
        <v>166</v>
      </c>
      <c r="D45" t="s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Experiment Characteristics</vt:lpstr>
      <vt:lpstr>Post-Experiment KPIs</vt:lpstr>
      <vt:lpstr>Real vs Model Overlap</vt:lpstr>
      <vt:lpstr>Separator Preprocess</vt:lpstr>
      <vt:lpstr>Separator Order Stats</vt:lpstr>
      <vt:lpstr>Separator Forbid Cuts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Ozgurbuz, Ekin</cp:lastModifiedBy>
  <dcterms:created xsi:type="dcterms:W3CDTF">2026-05-08T12:06:05Z</dcterms:created>
  <dcterms:modified xsi:type="dcterms:W3CDTF">2026-05-19T10:58:05Z</dcterms:modified>
</cp:coreProperties>
</file>