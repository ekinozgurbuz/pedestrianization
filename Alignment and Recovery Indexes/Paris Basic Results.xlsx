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kin\Desktop\"/>
    </mc:Choice>
  </mc:AlternateContent>
  <xr:revisionPtr revIDLastSave="0" documentId="13_ncr:1_{C9EE376C-CF2D-4449-BDD0-0ABB02BC8AAD}" xr6:coauthVersionLast="47" xr6:coauthVersionMax="47" xr10:uidLastSave="{00000000-0000-0000-0000-000000000000}"/>
  <bookViews>
    <workbookView xWindow="-108" yWindow="-108" windowWidth="23256" windowHeight="12576" xr2:uid="{B94460F8-15B8-4DA6-9F80-3F6E2B21EBAB}"/>
  </bookViews>
  <sheets>
    <sheet name="Paris Small" sheetId="2" r:id="rId1"/>
    <sheet name="Paris Medium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2" i="2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2" i="1"/>
</calcChain>
</file>

<file path=xl/sharedStrings.xml><?xml version="1.0" encoding="utf-8"?>
<sst xmlns="http://schemas.openxmlformats.org/spreadsheetml/2006/main" count="236" uniqueCount="68">
  <si>
    <t>city_name</t>
  </si>
  <si>
    <t>combo_tag</t>
  </si>
  <si>
    <t>agglomeration</t>
  </si>
  <si>
    <t>spillover</t>
  </si>
  <si>
    <t>Delta_max</t>
  </si>
  <si>
    <t>objective</t>
  </si>
  <si>
    <t>runtime_sec</t>
  </si>
  <si>
    <t>gap_pct</t>
  </si>
  <si>
    <t>jaccard_similarity</t>
  </si>
  <si>
    <t>real_recovery_rate</t>
  </si>
  <si>
    <t>common_count</t>
  </si>
  <si>
    <t>real_count</t>
  </si>
  <si>
    <t>model_count</t>
  </si>
  <si>
    <t>Paris Medium</t>
  </si>
  <si>
    <t>a0_s0_d200</t>
  </si>
  <si>
    <t>a0_s0_d400</t>
  </si>
  <si>
    <t>a0_s0_d800</t>
  </si>
  <si>
    <t>a0_s0_d1200</t>
  </si>
  <si>
    <t>a0p5_s0_d400</t>
  </si>
  <si>
    <t>a0p5_s0p1_d400</t>
  </si>
  <si>
    <t>a0p5_s0p25_d400</t>
  </si>
  <si>
    <t>a0p5_s0p5_d400</t>
  </si>
  <si>
    <t>a1_s0_d400</t>
  </si>
  <si>
    <t>a1_s0p1_d400</t>
  </si>
  <si>
    <t>a1_s0p25_d400</t>
  </si>
  <si>
    <t>a1_s0p5_d400</t>
  </si>
  <si>
    <t>a2_s0_d400</t>
  </si>
  <si>
    <t>a2_s0p1_d400</t>
  </si>
  <si>
    <t>a2_s0p25_d400</t>
  </si>
  <si>
    <t>a2_s0p5_d400</t>
  </si>
  <si>
    <t>a3_s0_d400</t>
  </si>
  <si>
    <t>a3_s0p1_d400</t>
  </si>
  <si>
    <t>a3_s0p25_d400</t>
  </si>
  <si>
    <t>a3_s0p5_d400</t>
  </si>
  <si>
    <t>a0p5_s0_d800</t>
  </si>
  <si>
    <t>a0p5_s0p1_d800</t>
  </si>
  <si>
    <t>a0p5_s0p25_d800</t>
  </si>
  <si>
    <t>a0p5_s0p5_d800</t>
  </si>
  <si>
    <t>a1_s0_d800</t>
  </si>
  <si>
    <t>a1_s0p1_d800</t>
  </si>
  <si>
    <t>a1_s0p25_d800</t>
  </si>
  <si>
    <t>a1_s0p5_d800</t>
  </si>
  <si>
    <t>a2_s0_d800</t>
  </si>
  <si>
    <t>a2_s0p1_d800</t>
  </si>
  <si>
    <t>a2_s0p25_d800</t>
  </si>
  <si>
    <t>a2_s0p5_d800</t>
  </si>
  <si>
    <t>a3_s0_d800</t>
  </si>
  <si>
    <t>a3_s0p1_d800</t>
  </si>
  <si>
    <t>a3_s0p25_d800</t>
  </si>
  <si>
    <t>a3_s0p5_d800</t>
  </si>
  <si>
    <t>a0p5_s0_d1200</t>
  </si>
  <si>
    <t>a0p5_s0p1_d1200</t>
  </si>
  <si>
    <t>a0p5_s0p25_d1200</t>
  </si>
  <si>
    <t>a0p5_s0p5_d1200</t>
  </si>
  <si>
    <t>a1_s0_d1200</t>
  </si>
  <si>
    <t>a1_s0p1_d1200</t>
  </si>
  <si>
    <t>a1_s0p25_d1200</t>
  </si>
  <si>
    <t>a1_s0p5_d1200</t>
  </si>
  <si>
    <t>a2_s0_d1200</t>
  </si>
  <si>
    <t>a2_s0p1_d1200</t>
  </si>
  <si>
    <t>a2_s0p25_d1200</t>
  </si>
  <si>
    <t>a2_s0p5_d1200</t>
  </si>
  <si>
    <t>a3_s0_d1200</t>
  </si>
  <si>
    <t>a3_s0p1_d1200</t>
  </si>
  <si>
    <t>a3_s0p25_d1200</t>
  </si>
  <si>
    <t>a3_s0p5_d1200</t>
  </si>
  <si>
    <t>Paris Small</t>
  </si>
  <si>
    <t>alignment_index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</si>
</sst>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1D0E2-7C97-4E4F-BBE4-D29747F6447A}">
  <dimension ref="A1:N53"/>
  <sheetViews>
    <sheetView tabSelected="1" workbookViewId="0">
      <selection activeCell="N2" sqref="N2"/>
    </sheetView>
  </sheetViews>
  <sheetFormatPr defaultRowHeight="14.4" x14ac:dyDescent="0.3"/>
  <cols>
    <col min="6" max="7" width="12" bestFit="1" customWidth="1"/>
    <col min="11" max="11" width="14.5546875" bestFit="1" customWidth="1"/>
    <col min="12" max="12" width="10" bestFit="1" customWidth="1"/>
    <col min="13" max="13" width="12.21875" bestFit="1" customWidth="1"/>
    <col min="14" max="14" width="17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67</v>
      </c>
    </row>
    <row r="2" spans="1:14" x14ac:dyDescent="0.3">
      <c r="A2" t="s">
        <v>66</v>
      </c>
      <c r="B2" t="s">
        <v>31</v>
      </c>
      <c r="C2">
        <v>3</v>
      </c>
      <c r="D2">
        <v>0.1</v>
      </c>
      <c r="E2">
        <v>400</v>
      </c>
      <c r="F2">
        <v>2782.52619090813</v>
      </c>
      <c r="G2">
        <v>465.37099981307978</v>
      </c>
      <c r="H2">
        <v>8.0495788760208699E-5</v>
      </c>
      <c r="I2">
        <v>0.29577464788732388</v>
      </c>
      <c r="J2">
        <v>0.45652173913043481</v>
      </c>
      <c r="K2">
        <v>21</v>
      </c>
      <c r="L2">
        <v>46</v>
      </c>
      <c r="M2">
        <v>46</v>
      </c>
      <c r="N2">
        <f>(K2+(155-(L2+M2-K2)))/155</f>
        <v>0.67741935483870963</v>
      </c>
    </row>
    <row r="3" spans="1:14" x14ac:dyDescent="0.3">
      <c r="A3" t="s">
        <v>66</v>
      </c>
      <c r="B3" t="s">
        <v>30</v>
      </c>
      <c r="C3">
        <v>3</v>
      </c>
      <c r="D3">
        <v>0</v>
      </c>
      <c r="E3">
        <v>400</v>
      </c>
      <c r="F3">
        <v>2768.9703195097559</v>
      </c>
      <c r="G3">
        <v>427.39499998092651</v>
      </c>
      <c r="H3">
        <v>0</v>
      </c>
      <c r="I3">
        <v>0.29577464788732388</v>
      </c>
      <c r="J3">
        <v>0.45652173913043481</v>
      </c>
      <c r="K3">
        <v>21</v>
      </c>
      <c r="L3">
        <v>46</v>
      </c>
      <c r="M3">
        <v>46</v>
      </c>
      <c r="N3">
        <f t="shared" ref="N3:N53" si="0">(K3+(155-(L3+M3-K3)))/155</f>
        <v>0.67741935483870963</v>
      </c>
    </row>
    <row r="4" spans="1:14" x14ac:dyDescent="0.3">
      <c r="A4" t="s">
        <v>66</v>
      </c>
      <c r="B4" t="s">
        <v>22</v>
      </c>
      <c r="C4">
        <v>1</v>
      </c>
      <c r="D4">
        <v>0</v>
      </c>
      <c r="E4">
        <v>400</v>
      </c>
      <c r="F4">
        <v>1588.035853646672</v>
      </c>
      <c r="G4">
        <v>96.360999822616577</v>
      </c>
      <c r="H4">
        <v>0</v>
      </c>
      <c r="I4">
        <v>0.26027397260273971</v>
      </c>
      <c r="J4">
        <v>0.41304347826086962</v>
      </c>
      <c r="K4">
        <v>19</v>
      </c>
      <c r="L4">
        <v>46</v>
      </c>
      <c r="M4">
        <v>46</v>
      </c>
      <c r="N4">
        <f t="shared" si="0"/>
        <v>0.65161290322580645</v>
      </c>
    </row>
    <row r="5" spans="1:14" x14ac:dyDescent="0.3">
      <c r="A5" t="s">
        <v>66</v>
      </c>
      <c r="B5" t="s">
        <v>23</v>
      </c>
      <c r="C5">
        <v>1</v>
      </c>
      <c r="D5">
        <v>0.1</v>
      </c>
      <c r="E5">
        <v>400</v>
      </c>
      <c r="F5">
        <v>1602.663372195711</v>
      </c>
      <c r="G5">
        <v>96.848999977111816</v>
      </c>
      <c r="H5">
        <v>0</v>
      </c>
      <c r="I5">
        <v>0.26027397260273971</v>
      </c>
      <c r="J5">
        <v>0.41304347826086962</v>
      </c>
      <c r="K5">
        <v>19</v>
      </c>
      <c r="L5">
        <v>46</v>
      </c>
      <c r="M5">
        <v>46</v>
      </c>
      <c r="N5">
        <f t="shared" si="0"/>
        <v>0.65161290322580645</v>
      </c>
    </row>
    <row r="6" spans="1:14" x14ac:dyDescent="0.3">
      <c r="A6" t="s">
        <v>66</v>
      </c>
      <c r="B6" t="s">
        <v>26</v>
      </c>
      <c r="C6">
        <v>2</v>
      </c>
      <c r="D6">
        <v>0</v>
      </c>
      <c r="E6">
        <v>400</v>
      </c>
      <c r="F6">
        <v>2177.6610066855869</v>
      </c>
      <c r="G6">
        <v>236.28099989891049</v>
      </c>
      <c r="H6">
        <v>8.7718667399111009E-5</v>
      </c>
      <c r="I6">
        <v>0.26027397260273971</v>
      </c>
      <c r="J6">
        <v>0.41304347826086962</v>
      </c>
      <c r="K6">
        <v>19</v>
      </c>
      <c r="L6">
        <v>46</v>
      </c>
      <c r="M6">
        <v>46</v>
      </c>
      <c r="N6">
        <f t="shared" si="0"/>
        <v>0.65161290322580645</v>
      </c>
    </row>
    <row r="7" spans="1:14" x14ac:dyDescent="0.3">
      <c r="A7" t="s">
        <v>66</v>
      </c>
      <c r="B7" t="s">
        <v>27</v>
      </c>
      <c r="C7">
        <v>2</v>
      </c>
      <c r="D7">
        <v>0.1</v>
      </c>
      <c r="E7">
        <v>400</v>
      </c>
      <c r="F7">
        <v>2192.2885255385031</v>
      </c>
      <c r="G7">
        <v>485.12899994850159</v>
      </c>
      <c r="H7">
        <v>0</v>
      </c>
      <c r="I7">
        <v>0.26027397260273971</v>
      </c>
      <c r="J7">
        <v>0.41304347826086962</v>
      </c>
      <c r="K7">
        <v>19</v>
      </c>
      <c r="L7">
        <v>46</v>
      </c>
      <c r="M7">
        <v>46</v>
      </c>
      <c r="N7">
        <f t="shared" si="0"/>
        <v>0.65161290322580645</v>
      </c>
    </row>
    <row r="8" spans="1:14" x14ac:dyDescent="0.3">
      <c r="A8" t="s">
        <v>66</v>
      </c>
      <c r="B8" t="s">
        <v>28</v>
      </c>
      <c r="C8">
        <v>2</v>
      </c>
      <c r="D8">
        <v>0.25</v>
      </c>
      <c r="E8">
        <v>400</v>
      </c>
      <c r="F8">
        <v>2214.2298042057009</v>
      </c>
      <c r="G8">
        <v>210.79800009727481</v>
      </c>
      <c r="H8">
        <v>0</v>
      </c>
      <c r="I8">
        <v>0.26027397260273971</v>
      </c>
      <c r="J8">
        <v>0.41304347826086962</v>
      </c>
      <c r="K8">
        <v>19</v>
      </c>
      <c r="L8">
        <v>46</v>
      </c>
      <c r="M8">
        <v>46</v>
      </c>
      <c r="N8">
        <f t="shared" si="0"/>
        <v>0.65161290322580645</v>
      </c>
    </row>
    <row r="9" spans="1:14" x14ac:dyDescent="0.3">
      <c r="A9" t="s">
        <v>66</v>
      </c>
      <c r="B9" t="s">
        <v>32</v>
      </c>
      <c r="C9">
        <v>3</v>
      </c>
      <c r="D9">
        <v>0.25</v>
      </c>
      <c r="E9">
        <v>400</v>
      </c>
      <c r="F9">
        <v>2803.8549571606791</v>
      </c>
      <c r="G9">
        <v>276.11900019645691</v>
      </c>
      <c r="H9">
        <v>0</v>
      </c>
      <c r="I9">
        <v>0.26027397260273971</v>
      </c>
      <c r="J9">
        <v>0.41304347826086962</v>
      </c>
      <c r="K9">
        <v>19</v>
      </c>
      <c r="L9">
        <v>46</v>
      </c>
      <c r="M9">
        <v>46</v>
      </c>
      <c r="N9">
        <f t="shared" si="0"/>
        <v>0.65161290322580645</v>
      </c>
    </row>
    <row r="10" spans="1:14" x14ac:dyDescent="0.3">
      <c r="A10" t="s">
        <v>66</v>
      </c>
      <c r="B10" t="s">
        <v>14</v>
      </c>
      <c r="C10">
        <v>0</v>
      </c>
      <c r="D10">
        <v>0</v>
      </c>
      <c r="E10">
        <v>200</v>
      </c>
      <c r="F10">
        <v>1003.6106</v>
      </c>
      <c r="G10">
        <v>10.991000175476071</v>
      </c>
      <c r="H10">
        <v>2.6504303561930739E-5</v>
      </c>
      <c r="I10">
        <v>0.24324324324324331</v>
      </c>
      <c r="J10">
        <v>0.39130434782608697</v>
      </c>
      <c r="K10">
        <v>18</v>
      </c>
      <c r="L10">
        <v>46</v>
      </c>
      <c r="M10">
        <v>46</v>
      </c>
      <c r="N10">
        <f t="shared" si="0"/>
        <v>0.6387096774193548</v>
      </c>
    </row>
    <row r="11" spans="1:14" x14ac:dyDescent="0.3">
      <c r="A11" t="s">
        <v>66</v>
      </c>
      <c r="B11" t="s">
        <v>15</v>
      </c>
      <c r="C11">
        <v>0</v>
      </c>
      <c r="D11">
        <v>0</v>
      </c>
      <c r="E11">
        <v>400</v>
      </c>
      <c r="F11">
        <v>1003.6106</v>
      </c>
      <c r="G11">
        <v>7.8450000286102286</v>
      </c>
      <c r="H11">
        <v>0</v>
      </c>
      <c r="I11">
        <v>0.24324324324324331</v>
      </c>
      <c r="J11">
        <v>0.39130434782608697</v>
      </c>
      <c r="K11">
        <v>18</v>
      </c>
      <c r="L11">
        <v>46</v>
      </c>
      <c r="M11">
        <v>46</v>
      </c>
      <c r="N11">
        <f t="shared" si="0"/>
        <v>0.6387096774193548</v>
      </c>
    </row>
    <row r="12" spans="1:14" x14ac:dyDescent="0.3">
      <c r="A12" t="s">
        <v>66</v>
      </c>
      <c r="B12" t="s">
        <v>16</v>
      </c>
      <c r="C12">
        <v>0</v>
      </c>
      <c r="D12">
        <v>0</v>
      </c>
      <c r="E12">
        <v>800</v>
      </c>
      <c r="F12">
        <v>1003.6106</v>
      </c>
      <c r="G12">
        <v>8.3910000324249268</v>
      </c>
      <c r="H12">
        <v>0</v>
      </c>
      <c r="I12">
        <v>0.24324324324324331</v>
      </c>
      <c r="J12">
        <v>0.39130434782608697</v>
      </c>
      <c r="K12">
        <v>18</v>
      </c>
      <c r="L12">
        <v>46</v>
      </c>
      <c r="M12">
        <v>46</v>
      </c>
      <c r="N12">
        <f t="shared" si="0"/>
        <v>0.6387096774193548</v>
      </c>
    </row>
    <row r="13" spans="1:14" x14ac:dyDescent="0.3">
      <c r="A13" t="s">
        <v>66</v>
      </c>
      <c r="B13" t="s">
        <v>17</v>
      </c>
      <c r="C13">
        <v>0</v>
      </c>
      <c r="D13">
        <v>0</v>
      </c>
      <c r="E13">
        <v>1200</v>
      </c>
      <c r="F13">
        <v>1003.6106</v>
      </c>
      <c r="G13">
        <v>8.4560000896453857</v>
      </c>
      <c r="H13">
        <v>0</v>
      </c>
      <c r="I13">
        <v>0.24324324324324331</v>
      </c>
      <c r="J13">
        <v>0.39130434782608697</v>
      </c>
      <c r="K13">
        <v>18</v>
      </c>
      <c r="L13">
        <v>46</v>
      </c>
      <c r="M13">
        <v>46</v>
      </c>
      <c r="N13">
        <f t="shared" si="0"/>
        <v>0.6387096774193548</v>
      </c>
    </row>
    <row r="14" spans="1:14" x14ac:dyDescent="0.3">
      <c r="A14" t="s">
        <v>66</v>
      </c>
      <c r="B14" t="s">
        <v>18</v>
      </c>
      <c r="C14">
        <v>0.5</v>
      </c>
      <c r="D14">
        <v>0</v>
      </c>
      <c r="E14">
        <v>400</v>
      </c>
      <c r="F14">
        <v>1294.3272156943749</v>
      </c>
      <c r="G14">
        <v>59.973000049591057</v>
      </c>
      <c r="H14">
        <v>0</v>
      </c>
      <c r="I14">
        <v>0.24324324324324331</v>
      </c>
      <c r="J14">
        <v>0.39130434782608697</v>
      </c>
      <c r="K14">
        <v>18</v>
      </c>
      <c r="L14">
        <v>46</v>
      </c>
      <c r="M14">
        <v>46</v>
      </c>
      <c r="N14">
        <f t="shared" si="0"/>
        <v>0.6387096774193548</v>
      </c>
    </row>
    <row r="15" spans="1:14" x14ac:dyDescent="0.3">
      <c r="A15" t="s">
        <v>66</v>
      </c>
      <c r="B15" t="s">
        <v>24</v>
      </c>
      <c r="C15">
        <v>1</v>
      </c>
      <c r="D15">
        <v>0.25</v>
      </c>
      <c r="E15">
        <v>400</v>
      </c>
      <c r="F15">
        <v>1624.82691450629</v>
      </c>
      <c r="G15">
        <v>220.73699998855591</v>
      </c>
      <c r="H15">
        <v>0</v>
      </c>
      <c r="I15">
        <v>0.24324324324324331</v>
      </c>
      <c r="J15">
        <v>0.39130434782608697</v>
      </c>
      <c r="K15">
        <v>18</v>
      </c>
      <c r="L15">
        <v>46</v>
      </c>
      <c r="M15">
        <v>46</v>
      </c>
      <c r="N15">
        <f t="shared" si="0"/>
        <v>0.6387096774193548</v>
      </c>
    </row>
    <row r="16" spans="1:14" x14ac:dyDescent="0.3">
      <c r="A16" t="s">
        <v>66</v>
      </c>
      <c r="B16" t="s">
        <v>29</v>
      </c>
      <c r="C16">
        <v>2</v>
      </c>
      <c r="D16">
        <v>0.5</v>
      </c>
      <c r="E16">
        <v>400</v>
      </c>
      <c r="F16">
        <v>2251.502126525048</v>
      </c>
      <c r="G16">
        <v>211.42000007629389</v>
      </c>
      <c r="H16">
        <v>3.7796321261289193E-5</v>
      </c>
      <c r="I16">
        <v>0.24324324324324331</v>
      </c>
      <c r="J16">
        <v>0.39130434782608697</v>
      </c>
      <c r="K16">
        <v>18</v>
      </c>
      <c r="L16">
        <v>46</v>
      </c>
      <c r="M16">
        <v>46</v>
      </c>
      <c r="N16">
        <f t="shared" si="0"/>
        <v>0.6387096774193548</v>
      </c>
    </row>
    <row r="17" spans="1:14" x14ac:dyDescent="0.3">
      <c r="A17" t="s">
        <v>66</v>
      </c>
      <c r="B17" t="s">
        <v>33</v>
      </c>
      <c r="C17">
        <v>3</v>
      </c>
      <c r="D17">
        <v>0.5</v>
      </c>
      <c r="E17">
        <v>400</v>
      </c>
      <c r="F17">
        <v>2840.633454323965</v>
      </c>
      <c r="G17">
        <v>461.94200015068049</v>
      </c>
      <c r="H17">
        <v>0</v>
      </c>
      <c r="I17">
        <v>0.24324324324324331</v>
      </c>
      <c r="J17">
        <v>0.39130434782608697</v>
      </c>
      <c r="K17">
        <v>18</v>
      </c>
      <c r="L17">
        <v>46</v>
      </c>
      <c r="M17">
        <v>46</v>
      </c>
      <c r="N17">
        <f t="shared" si="0"/>
        <v>0.6387096774193548</v>
      </c>
    </row>
    <row r="18" spans="1:14" x14ac:dyDescent="0.3">
      <c r="A18" t="s">
        <v>66</v>
      </c>
      <c r="B18" t="s">
        <v>34</v>
      </c>
      <c r="C18">
        <v>0.5</v>
      </c>
      <c r="D18">
        <v>0</v>
      </c>
      <c r="E18">
        <v>800</v>
      </c>
      <c r="F18">
        <v>1290.878788075951</v>
      </c>
      <c r="G18">
        <v>80.891000032424927</v>
      </c>
      <c r="H18">
        <v>0</v>
      </c>
      <c r="I18">
        <v>0.24324324324324331</v>
      </c>
      <c r="J18">
        <v>0.39130434782608697</v>
      </c>
      <c r="K18">
        <v>18</v>
      </c>
      <c r="L18">
        <v>46</v>
      </c>
      <c r="M18">
        <v>46</v>
      </c>
      <c r="N18">
        <f t="shared" si="0"/>
        <v>0.6387096774193548</v>
      </c>
    </row>
    <row r="19" spans="1:14" x14ac:dyDescent="0.3">
      <c r="A19" t="s">
        <v>66</v>
      </c>
      <c r="B19" t="s">
        <v>35</v>
      </c>
      <c r="C19">
        <v>0.5</v>
      </c>
      <c r="D19">
        <v>0.1</v>
      </c>
      <c r="E19">
        <v>800</v>
      </c>
      <c r="F19">
        <v>1299.94064081443</v>
      </c>
      <c r="G19">
        <v>60.938999891281128</v>
      </c>
      <c r="H19">
        <v>0</v>
      </c>
      <c r="I19">
        <v>0.24324324324324331</v>
      </c>
      <c r="J19">
        <v>0.39130434782608697</v>
      </c>
      <c r="K19">
        <v>18</v>
      </c>
      <c r="L19">
        <v>46</v>
      </c>
      <c r="M19">
        <v>46</v>
      </c>
      <c r="N19">
        <f t="shared" si="0"/>
        <v>0.6387096774193548</v>
      </c>
    </row>
    <row r="20" spans="1:14" x14ac:dyDescent="0.3">
      <c r="A20" t="s">
        <v>66</v>
      </c>
      <c r="B20" t="s">
        <v>36</v>
      </c>
      <c r="C20">
        <v>0.5</v>
      </c>
      <c r="D20">
        <v>0.25</v>
      </c>
      <c r="E20">
        <v>800</v>
      </c>
      <c r="F20">
        <v>1313.5334126872881</v>
      </c>
      <c r="G20">
        <v>47.391999959945679</v>
      </c>
      <c r="H20">
        <v>0</v>
      </c>
      <c r="I20">
        <v>0.24324324324324331</v>
      </c>
      <c r="J20">
        <v>0.39130434782608697</v>
      </c>
      <c r="K20">
        <v>18</v>
      </c>
      <c r="L20">
        <v>46</v>
      </c>
      <c r="M20">
        <v>46</v>
      </c>
      <c r="N20">
        <f t="shared" si="0"/>
        <v>0.6387096774193548</v>
      </c>
    </row>
    <row r="21" spans="1:14" x14ac:dyDescent="0.3">
      <c r="A21" t="s">
        <v>66</v>
      </c>
      <c r="B21" t="s">
        <v>38</v>
      </c>
      <c r="C21">
        <v>1</v>
      </c>
      <c r="D21">
        <v>0</v>
      </c>
      <c r="E21">
        <v>800</v>
      </c>
      <c r="F21">
        <v>1578.830776151902</v>
      </c>
      <c r="G21">
        <v>66.710000038146973</v>
      </c>
      <c r="H21">
        <v>0</v>
      </c>
      <c r="I21">
        <v>0.24324324324324331</v>
      </c>
      <c r="J21">
        <v>0.39130434782608697</v>
      </c>
      <c r="K21">
        <v>18</v>
      </c>
      <c r="L21">
        <v>46</v>
      </c>
      <c r="M21">
        <v>46</v>
      </c>
      <c r="N21">
        <f t="shared" si="0"/>
        <v>0.6387096774193548</v>
      </c>
    </row>
    <row r="22" spans="1:14" x14ac:dyDescent="0.3">
      <c r="A22" t="s">
        <v>66</v>
      </c>
      <c r="B22" t="s">
        <v>39</v>
      </c>
      <c r="C22">
        <v>1</v>
      </c>
      <c r="D22">
        <v>0.1</v>
      </c>
      <c r="E22">
        <v>800</v>
      </c>
      <c r="F22">
        <v>1587.892627233236</v>
      </c>
      <c r="G22">
        <v>80.96399998664856</v>
      </c>
      <c r="H22">
        <v>0</v>
      </c>
      <c r="I22">
        <v>0.24324324324324331</v>
      </c>
      <c r="J22">
        <v>0.39130434782608697</v>
      </c>
      <c r="K22">
        <v>18</v>
      </c>
      <c r="L22">
        <v>46</v>
      </c>
      <c r="M22">
        <v>46</v>
      </c>
      <c r="N22">
        <f t="shared" si="0"/>
        <v>0.6387096774193548</v>
      </c>
    </row>
    <row r="23" spans="1:14" x14ac:dyDescent="0.3">
      <c r="A23" t="s">
        <v>66</v>
      </c>
      <c r="B23" t="s">
        <v>40</v>
      </c>
      <c r="C23">
        <v>1</v>
      </c>
      <c r="D23">
        <v>0.25</v>
      </c>
      <c r="E23">
        <v>800</v>
      </c>
      <c r="F23">
        <v>1601.485402048145</v>
      </c>
      <c r="G23">
        <v>96.396000146865845</v>
      </c>
      <c r="H23">
        <v>0</v>
      </c>
      <c r="I23">
        <v>0.24324324324324331</v>
      </c>
      <c r="J23">
        <v>0.39130434782608697</v>
      </c>
      <c r="K23">
        <v>18</v>
      </c>
      <c r="L23">
        <v>46</v>
      </c>
      <c r="M23">
        <v>46</v>
      </c>
      <c r="N23">
        <f t="shared" si="0"/>
        <v>0.6387096774193548</v>
      </c>
    </row>
    <row r="24" spans="1:14" x14ac:dyDescent="0.3">
      <c r="A24" t="s">
        <v>66</v>
      </c>
      <c r="B24" t="s">
        <v>42</v>
      </c>
      <c r="C24">
        <v>2</v>
      </c>
      <c r="D24">
        <v>0</v>
      </c>
      <c r="E24">
        <v>800</v>
      </c>
      <c r="F24">
        <v>2155.8629131926559</v>
      </c>
      <c r="G24">
        <v>137.11400008201599</v>
      </c>
      <c r="H24">
        <v>0</v>
      </c>
      <c r="I24">
        <v>0.24324324324324331</v>
      </c>
      <c r="J24">
        <v>0.39130434782608697</v>
      </c>
      <c r="K24">
        <v>18</v>
      </c>
      <c r="L24">
        <v>46</v>
      </c>
      <c r="M24">
        <v>46</v>
      </c>
      <c r="N24">
        <f t="shared" si="0"/>
        <v>0.6387096774193548</v>
      </c>
    </row>
    <row r="25" spans="1:14" x14ac:dyDescent="0.3">
      <c r="A25" t="s">
        <v>66</v>
      </c>
      <c r="B25" t="s">
        <v>43</v>
      </c>
      <c r="C25">
        <v>2</v>
      </c>
      <c r="D25">
        <v>0.1</v>
      </c>
      <c r="E25">
        <v>800</v>
      </c>
      <c r="F25">
        <v>2164.8955822484331</v>
      </c>
      <c r="G25">
        <v>115.0790002346039</v>
      </c>
      <c r="H25">
        <v>0</v>
      </c>
      <c r="I25">
        <v>0.24324324324324331</v>
      </c>
      <c r="J25">
        <v>0.39130434782608697</v>
      </c>
      <c r="K25">
        <v>18</v>
      </c>
      <c r="L25">
        <v>46</v>
      </c>
      <c r="M25">
        <v>46</v>
      </c>
      <c r="N25">
        <f t="shared" si="0"/>
        <v>0.6387096774193548</v>
      </c>
    </row>
    <row r="26" spans="1:14" x14ac:dyDescent="0.3">
      <c r="A26" t="s">
        <v>66</v>
      </c>
      <c r="B26" t="s">
        <v>44</v>
      </c>
      <c r="C26">
        <v>2</v>
      </c>
      <c r="D26">
        <v>0.25</v>
      </c>
      <c r="E26">
        <v>800</v>
      </c>
      <c r="F26">
        <v>2178.444585832101</v>
      </c>
      <c r="G26">
        <v>98.240999937057495</v>
      </c>
      <c r="H26">
        <v>0</v>
      </c>
      <c r="I26">
        <v>0.24324324324324331</v>
      </c>
      <c r="J26">
        <v>0.39130434782608697</v>
      </c>
      <c r="K26">
        <v>18</v>
      </c>
      <c r="L26">
        <v>46</v>
      </c>
      <c r="M26">
        <v>46</v>
      </c>
      <c r="N26">
        <f t="shared" si="0"/>
        <v>0.6387096774193548</v>
      </c>
    </row>
    <row r="27" spans="1:14" x14ac:dyDescent="0.3">
      <c r="A27" t="s">
        <v>66</v>
      </c>
      <c r="B27" t="s">
        <v>45</v>
      </c>
      <c r="C27">
        <v>2</v>
      </c>
      <c r="D27">
        <v>0.5</v>
      </c>
      <c r="E27">
        <v>800</v>
      </c>
      <c r="F27">
        <v>2201.026258471546</v>
      </c>
      <c r="G27">
        <v>105.5499999523163</v>
      </c>
      <c r="H27">
        <v>0</v>
      </c>
      <c r="I27">
        <v>0.24324324324324331</v>
      </c>
      <c r="J27">
        <v>0.39130434782608697</v>
      </c>
      <c r="K27">
        <v>18</v>
      </c>
      <c r="L27">
        <v>46</v>
      </c>
      <c r="M27">
        <v>46</v>
      </c>
      <c r="N27">
        <f t="shared" si="0"/>
        <v>0.6387096774193548</v>
      </c>
    </row>
    <row r="28" spans="1:14" x14ac:dyDescent="0.3">
      <c r="A28" t="s">
        <v>66</v>
      </c>
      <c r="B28" t="s">
        <v>46</v>
      </c>
      <c r="C28">
        <v>3</v>
      </c>
      <c r="D28">
        <v>0</v>
      </c>
      <c r="E28">
        <v>800</v>
      </c>
      <c r="F28">
        <v>2733.748919788984</v>
      </c>
      <c r="G28">
        <v>142.76200008392331</v>
      </c>
      <c r="H28">
        <v>0</v>
      </c>
      <c r="I28">
        <v>0.24324324324324331</v>
      </c>
      <c r="J28">
        <v>0.39130434782608697</v>
      </c>
      <c r="K28">
        <v>18</v>
      </c>
      <c r="L28">
        <v>46</v>
      </c>
      <c r="M28">
        <v>46</v>
      </c>
      <c r="N28">
        <f t="shared" si="0"/>
        <v>0.6387096774193548</v>
      </c>
    </row>
    <row r="29" spans="1:14" x14ac:dyDescent="0.3">
      <c r="A29" t="s">
        <v>66</v>
      </c>
      <c r="B29" t="s">
        <v>47</v>
      </c>
      <c r="C29">
        <v>3</v>
      </c>
      <c r="D29">
        <v>0.1</v>
      </c>
      <c r="E29">
        <v>800</v>
      </c>
      <c r="F29">
        <v>2742.7815888447631</v>
      </c>
      <c r="G29">
        <v>147.3839998245239</v>
      </c>
      <c r="H29">
        <v>0</v>
      </c>
      <c r="I29">
        <v>0.24324324324324331</v>
      </c>
      <c r="J29">
        <v>0.39130434782608697</v>
      </c>
      <c r="K29">
        <v>18</v>
      </c>
      <c r="L29">
        <v>46</v>
      </c>
      <c r="M29">
        <v>46</v>
      </c>
      <c r="N29">
        <f t="shared" si="0"/>
        <v>0.6387096774193548</v>
      </c>
    </row>
    <row r="30" spans="1:14" x14ac:dyDescent="0.3">
      <c r="A30" t="s">
        <v>66</v>
      </c>
      <c r="B30" t="s">
        <v>48</v>
      </c>
      <c r="C30">
        <v>3</v>
      </c>
      <c r="D30">
        <v>0.25</v>
      </c>
      <c r="E30">
        <v>800</v>
      </c>
      <c r="F30">
        <v>2756.3305924284368</v>
      </c>
      <c r="G30">
        <v>136.87100005149841</v>
      </c>
      <c r="H30">
        <v>0</v>
      </c>
      <c r="I30">
        <v>0.24324324324324331</v>
      </c>
      <c r="J30">
        <v>0.39130434782608697</v>
      </c>
      <c r="K30">
        <v>18</v>
      </c>
      <c r="L30">
        <v>46</v>
      </c>
      <c r="M30">
        <v>46</v>
      </c>
      <c r="N30">
        <f t="shared" si="0"/>
        <v>0.6387096774193548</v>
      </c>
    </row>
    <row r="31" spans="1:14" x14ac:dyDescent="0.3">
      <c r="A31" t="s">
        <v>66</v>
      </c>
      <c r="B31" t="s">
        <v>49</v>
      </c>
      <c r="C31">
        <v>3</v>
      </c>
      <c r="D31">
        <v>0.5</v>
      </c>
      <c r="E31">
        <v>800</v>
      </c>
      <c r="F31">
        <v>2778.9122650678728</v>
      </c>
      <c r="G31">
        <v>129.32699990272519</v>
      </c>
      <c r="H31">
        <v>0</v>
      </c>
      <c r="I31">
        <v>0.24324324324324331</v>
      </c>
      <c r="J31">
        <v>0.39130434782608697</v>
      </c>
      <c r="K31">
        <v>18</v>
      </c>
      <c r="L31">
        <v>46</v>
      </c>
      <c r="M31">
        <v>46</v>
      </c>
      <c r="N31">
        <f t="shared" si="0"/>
        <v>0.6387096774193548</v>
      </c>
    </row>
    <row r="32" spans="1:14" x14ac:dyDescent="0.3">
      <c r="A32" t="s">
        <v>66</v>
      </c>
      <c r="B32" t="s">
        <v>50</v>
      </c>
      <c r="C32">
        <v>0.5</v>
      </c>
      <c r="D32">
        <v>0</v>
      </c>
      <c r="E32">
        <v>1200</v>
      </c>
      <c r="F32">
        <v>1289.5216026120861</v>
      </c>
      <c r="G32">
        <v>47.114000082015991</v>
      </c>
      <c r="H32">
        <v>0</v>
      </c>
      <c r="I32">
        <v>0.24324324324324331</v>
      </c>
      <c r="J32">
        <v>0.39130434782608697</v>
      </c>
      <c r="K32">
        <v>18</v>
      </c>
      <c r="L32">
        <v>46</v>
      </c>
      <c r="M32">
        <v>46</v>
      </c>
      <c r="N32">
        <f t="shared" si="0"/>
        <v>0.6387096774193548</v>
      </c>
    </row>
    <row r="33" spans="1:14" x14ac:dyDescent="0.3">
      <c r="A33" t="s">
        <v>66</v>
      </c>
      <c r="B33" t="s">
        <v>51</v>
      </c>
      <c r="C33">
        <v>0.5</v>
      </c>
      <c r="D33">
        <v>0.1</v>
      </c>
      <c r="E33">
        <v>1200</v>
      </c>
      <c r="F33">
        <v>1297.561687987099</v>
      </c>
      <c r="G33">
        <v>54.499000072479248</v>
      </c>
      <c r="H33">
        <v>0</v>
      </c>
      <c r="I33">
        <v>0.24324324324324331</v>
      </c>
      <c r="J33">
        <v>0.39130434782608697</v>
      </c>
      <c r="K33">
        <v>18</v>
      </c>
      <c r="L33">
        <v>46</v>
      </c>
      <c r="M33">
        <v>46</v>
      </c>
      <c r="N33">
        <f t="shared" si="0"/>
        <v>0.6387096774193548</v>
      </c>
    </row>
    <row r="34" spans="1:14" x14ac:dyDescent="0.3">
      <c r="A34" t="s">
        <v>66</v>
      </c>
      <c r="B34" t="s">
        <v>52</v>
      </c>
      <c r="C34">
        <v>0.5</v>
      </c>
      <c r="D34">
        <v>0.25</v>
      </c>
      <c r="E34">
        <v>1200</v>
      </c>
      <c r="F34">
        <v>1309.621819587727</v>
      </c>
      <c r="G34">
        <v>54.937999963760383</v>
      </c>
      <c r="H34">
        <v>0</v>
      </c>
      <c r="I34">
        <v>0.24324324324324331</v>
      </c>
      <c r="J34">
        <v>0.39130434782608697</v>
      </c>
      <c r="K34">
        <v>18</v>
      </c>
      <c r="L34">
        <v>46</v>
      </c>
      <c r="M34">
        <v>46</v>
      </c>
      <c r="N34">
        <f t="shared" si="0"/>
        <v>0.6387096774193548</v>
      </c>
    </row>
    <row r="35" spans="1:14" x14ac:dyDescent="0.3">
      <c r="A35" t="s">
        <v>66</v>
      </c>
      <c r="B35" t="s">
        <v>53</v>
      </c>
      <c r="C35">
        <v>0.5</v>
      </c>
      <c r="D35">
        <v>0.5</v>
      </c>
      <c r="E35">
        <v>1200</v>
      </c>
      <c r="F35">
        <v>1330.0556927993121</v>
      </c>
      <c r="G35">
        <v>50.483000040054321</v>
      </c>
      <c r="H35">
        <v>0</v>
      </c>
      <c r="I35">
        <v>0.24324324324324331</v>
      </c>
      <c r="J35">
        <v>0.39130434782608697</v>
      </c>
      <c r="K35">
        <v>18</v>
      </c>
      <c r="L35">
        <v>46</v>
      </c>
      <c r="M35">
        <v>46</v>
      </c>
      <c r="N35">
        <f t="shared" si="0"/>
        <v>0.6387096774193548</v>
      </c>
    </row>
    <row r="36" spans="1:14" x14ac:dyDescent="0.3">
      <c r="A36" t="s">
        <v>66</v>
      </c>
      <c r="B36" t="s">
        <v>54</v>
      </c>
      <c r="C36">
        <v>1</v>
      </c>
      <c r="D36">
        <v>0</v>
      </c>
      <c r="E36">
        <v>1200</v>
      </c>
      <c r="F36">
        <v>1576.1164031275789</v>
      </c>
      <c r="G36">
        <v>92.616000175476074</v>
      </c>
      <c r="H36">
        <v>0</v>
      </c>
      <c r="I36">
        <v>0.24324324324324331</v>
      </c>
      <c r="J36">
        <v>0.39130434782608697</v>
      </c>
      <c r="K36">
        <v>18</v>
      </c>
      <c r="L36">
        <v>46</v>
      </c>
      <c r="M36">
        <v>46</v>
      </c>
      <c r="N36">
        <f t="shared" si="0"/>
        <v>0.6387096774193548</v>
      </c>
    </row>
    <row r="37" spans="1:14" x14ac:dyDescent="0.3">
      <c r="A37" t="s">
        <v>66</v>
      </c>
      <c r="B37" t="s">
        <v>55</v>
      </c>
      <c r="C37">
        <v>1</v>
      </c>
      <c r="D37">
        <v>0.1</v>
      </c>
      <c r="E37">
        <v>1200</v>
      </c>
      <c r="F37">
        <v>1584.156489078601</v>
      </c>
      <c r="G37">
        <v>65.208999872207642</v>
      </c>
      <c r="H37">
        <v>0</v>
      </c>
      <c r="I37">
        <v>0.24324324324324331</v>
      </c>
      <c r="J37">
        <v>0.39130434782608697</v>
      </c>
      <c r="K37">
        <v>18</v>
      </c>
      <c r="L37">
        <v>46</v>
      </c>
      <c r="M37">
        <v>46</v>
      </c>
      <c r="N37">
        <f t="shared" si="0"/>
        <v>0.6387096774193548</v>
      </c>
    </row>
    <row r="38" spans="1:14" x14ac:dyDescent="0.3">
      <c r="A38" t="s">
        <v>66</v>
      </c>
      <c r="B38" t="s">
        <v>56</v>
      </c>
      <c r="C38">
        <v>1</v>
      </c>
      <c r="D38">
        <v>0.25</v>
      </c>
      <c r="E38">
        <v>1200</v>
      </c>
      <c r="F38">
        <v>1596.2166194219949</v>
      </c>
      <c r="G38">
        <v>80.647000074386597</v>
      </c>
      <c r="H38">
        <v>0</v>
      </c>
      <c r="I38">
        <v>0.24324324324324331</v>
      </c>
      <c r="J38">
        <v>0.39130434782608697</v>
      </c>
      <c r="K38">
        <v>18</v>
      </c>
      <c r="L38">
        <v>46</v>
      </c>
      <c r="M38">
        <v>46</v>
      </c>
      <c r="N38">
        <f t="shared" si="0"/>
        <v>0.6387096774193548</v>
      </c>
    </row>
    <row r="39" spans="1:14" x14ac:dyDescent="0.3">
      <c r="A39" t="s">
        <v>66</v>
      </c>
      <c r="B39" t="s">
        <v>57</v>
      </c>
      <c r="C39">
        <v>1</v>
      </c>
      <c r="D39">
        <v>0.5</v>
      </c>
      <c r="E39">
        <v>1200</v>
      </c>
      <c r="F39">
        <v>1616.316836660985</v>
      </c>
      <c r="G39">
        <v>83.364000082015991</v>
      </c>
      <c r="H39">
        <v>0</v>
      </c>
      <c r="I39">
        <v>0.24324324324324331</v>
      </c>
      <c r="J39">
        <v>0.39130434782608697</v>
      </c>
      <c r="K39">
        <v>18</v>
      </c>
      <c r="L39">
        <v>46</v>
      </c>
      <c r="M39">
        <v>46</v>
      </c>
      <c r="N39">
        <f t="shared" si="0"/>
        <v>0.6387096774193548</v>
      </c>
    </row>
    <row r="40" spans="1:14" x14ac:dyDescent="0.3">
      <c r="A40" t="s">
        <v>66</v>
      </c>
      <c r="B40" t="s">
        <v>58</v>
      </c>
      <c r="C40">
        <v>2</v>
      </c>
      <c r="D40">
        <v>0</v>
      </c>
      <c r="E40">
        <v>1200</v>
      </c>
      <c r="F40">
        <v>2149.3060043660121</v>
      </c>
      <c r="G40">
        <v>108.0060000419617</v>
      </c>
      <c r="H40">
        <v>0</v>
      </c>
      <c r="I40">
        <v>0.24324324324324331</v>
      </c>
      <c r="J40">
        <v>0.39130434782608697</v>
      </c>
      <c r="K40">
        <v>18</v>
      </c>
      <c r="L40">
        <v>46</v>
      </c>
      <c r="M40">
        <v>46</v>
      </c>
      <c r="N40">
        <f t="shared" si="0"/>
        <v>0.6387096774193548</v>
      </c>
    </row>
    <row r="41" spans="1:14" x14ac:dyDescent="0.3">
      <c r="A41" t="s">
        <v>66</v>
      </c>
      <c r="B41" t="s">
        <v>59</v>
      </c>
      <c r="C41">
        <v>2</v>
      </c>
      <c r="D41">
        <v>0.1</v>
      </c>
      <c r="E41">
        <v>1200</v>
      </c>
      <c r="F41">
        <v>2157.346091261616</v>
      </c>
      <c r="G41">
        <v>112.1399998664856</v>
      </c>
      <c r="H41">
        <v>0</v>
      </c>
      <c r="I41">
        <v>0.24324324324324331</v>
      </c>
      <c r="J41">
        <v>0.39130434782608697</v>
      </c>
      <c r="K41">
        <v>18</v>
      </c>
      <c r="L41">
        <v>46</v>
      </c>
      <c r="M41">
        <v>46</v>
      </c>
      <c r="N41">
        <f t="shared" si="0"/>
        <v>0.6387096774193548</v>
      </c>
    </row>
    <row r="42" spans="1:14" x14ac:dyDescent="0.3">
      <c r="A42" t="s">
        <v>66</v>
      </c>
      <c r="B42" t="s">
        <v>60</v>
      </c>
      <c r="C42">
        <v>2</v>
      </c>
      <c r="D42">
        <v>0.25</v>
      </c>
      <c r="E42">
        <v>1200</v>
      </c>
      <c r="F42">
        <v>2169.406221605002</v>
      </c>
      <c r="G42">
        <v>108.867999792099</v>
      </c>
      <c r="H42">
        <v>0</v>
      </c>
      <c r="I42">
        <v>0.24324324324324331</v>
      </c>
      <c r="J42">
        <v>0.39130434782608697</v>
      </c>
      <c r="K42">
        <v>18</v>
      </c>
      <c r="L42">
        <v>46</v>
      </c>
      <c r="M42">
        <v>46</v>
      </c>
      <c r="N42">
        <f t="shared" si="0"/>
        <v>0.6387096774193548</v>
      </c>
    </row>
    <row r="43" spans="1:14" x14ac:dyDescent="0.3">
      <c r="A43" t="s">
        <v>66</v>
      </c>
      <c r="B43" t="s">
        <v>61</v>
      </c>
      <c r="C43">
        <v>2</v>
      </c>
      <c r="D43">
        <v>0.5</v>
      </c>
      <c r="E43">
        <v>1200</v>
      </c>
      <c r="F43">
        <v>2189.5064388440001</v>
      </c>
      <c r="G43">
        <v>103.93199992179871</v>
      </c>
      <c r="H43">
        <v>0</v>
      </c>
      <c r="I43">
        <v>0.24324324324324331</v>
      </c>
      <c r="J43">
        <v>0.39130434782608697</v>
      </c>
      <c r="K43">
        <v>18</v>
      </c>
      <c r="L43">
        <v>46</v>
      </c>
      <c r="M43">
        <v>46</v>
      </c>
      <c r="N43">
        <f t="shared" si="0"/>
        <v>0.6387096774193548</v>
      </c>
    </row>
    <row r="44" spans="1:14" x14ac:dyDescent="0.3">
      <c r="A44" t="s">
        <v>66</v>
      </c>
      <c r="B44" t="s">
        <v>62</v>
      </c>
      <c r="C44">
        <v>3</v>
      </c>
      <c r="D44">
        <v>0</v>
      </c>
      <c r="E44">
        <v>1200</v>
      </c>
      <c r="F44">
        <v>2722.4956806271912</v>
      </c>
      <c r="G44">
        <v>112.1749999523163</v>
      </c>
      <c r="H44">
        <v>0</v>
      </c>
      <c r="I44">
        <v>0.24324324324324331</v>
      </c>
      <c r="J44">
        <v>0.39130434782608697</v>
      </c>
      <c r="K44">
        <v>18</v>
      </c>
      <c r="L44">
        <v>46</v>
      </c>
      <c r="M44">
        <v>46</v>
      </c>
      <c r="N44">
        <f t="shared" si="0"/>
        <v>0.6387096774193548</v>
      </c>
    </row>
    <row r="45" spans="1:14" x14ac:dyDescent="0.3">
      <c r="A45" t="s">
        <v>66</v>
      </c>
      <c r="B45" t="s">
        <v>63</v>
      </c>
      <c r="C45">
        <v>3</v>
      </c>
      <c r="D45">
        <v>0.1</v>
      </c>
      <c r="E45">
        <v>1200</v>
      </c>
      <c r="F45">
        <v>2730.5357376395009</v>
      </c>
      <c r="G45">
        <v>117.7320001125336</v>
      </c>
      <c r="H45">
        <v>8.2928976448763417E-11</v>
      </c>
      <c r="I45">
        <v>0.24324324324324331</v>
      </c>
      <c r="J45">
        <v>0.39130434782608697</v>
      </c>
      <c r="K45">
        <v>18</v>
      </c>
      <c r="L45">
        <v>46</v>
      </c>
      <c r="M45">
        <v>46</v>
      </c>
      <c r="N45">
        <f t="shared" si="0"/>
        <v>0.6387096774193548</v>
      </c>
    </row>
    <row r="46" spans="1:14" x14ac:dyDescent="0.3">
      <c r="A46" t="s">
        <v>66</v>
      </c>
      <c r="B46" t="s">
        <v>64</v>
      </c>
      <c r="C46">
        <v>3</v>
      </c>
      <c r="D46">
        <v>0.25</v>
      </c>
      <c r="E46">
        <v>1200</v>
      </c>
      <c r="F46">
        <v>2742.5958237880091</v>
      </c>
      <c r="G46">
        <v>119.9189999103546</v>
      </c>
      <c r="H46">
        <v>0</v>
      </c>
      <c r="I46">
        <v>0.24324324324324331</v>
      </c>
      <c r="J46">
        <v>0.39130434782608697</v>
      </c>
      <c r="K46">
        <v>18</v>
      </c>
      <c r="L46">
        <v>46</v>
      </c>
      <c r="M46">
        <v>46</v>
      </c>
      <c r="N46">
        <f t="shared" si="0"/>
        <v>0.6387096774193548</v>
      </c>
    </row>
    <row r="47" spans="1:14" x14ac:dyDescent="0.3">
      <c r="A47" t="s">
        <v>66</v>
      </c>
      <c r="B47" t="s">
        <v>65</v>
      </c>
      <c r="C47">
        <v>3</v>
      </c>
      <c r="D47">
        <v>0.5</v>
      </c>
      <c r="E47">
        <v>1200</v>
      </c>
      <c r="F47">
        <v>2762.6960410270081</v>
      </c>
      <c r="G47">
        <v>111.4880001544952</v>
      </c>
      <c r="H47">
        <v>0</v>
      </c>
      <c r="I47">
        <v>0.24324324324324331</v>
      </c>
      <c r="J47">
        <v>0.39130434782608697</v>
      </c>
      <c r="K47">
        <v>18</v>
      </c>
      <c r="L47">
        <v>46</v>
      </c>
      <c r="M47">
        <v>46</v>
      </c>
      <c r="N47">
        <f t="shared" si="0"/>
        <v>0.6387096774193548</v>
      </c>
    </row>
    <row r="48" spans="1:14" x14ac:dyDescent="0.3">
      <c r="A48" t="s">
        <v>66</v>
      </c>
      <c r="B48" t="s">
        <v>19</v>
      </c>
      <c r="C48">
        <v>0.5</v>
      </c>
      <c r="D48">
        <v>0.1</v>
      </c>
      <c r="E48">
        <v>400</v>
      </c>
      <c r="F48">
        <v>1309.3800002847961</v>
      </c>
      <c r="G48">
        <v>64.67900013923645</v>
      </c>
      <c r="H48">
        <v>0</v>
      </c>
      <c r="I48">
        <v>0.22666666666666671</v>
      </c>
      <c r="J48">
        <v>0.36956521739130432</v>
      </c>
      <c r="K48">
        <v>17</v>
      </c>
      <c r="L48">
        <v>46</v>
      </c>
      <c r="M48">
        <v>46</v>
      </c>
      <c r="N48">
        <f t="shared" si="0"/>
        <v>0.62580645161290327</v>
      </c>
    </row>
    <row r="49" spans="1:14" x14ac:dyDescent="0.3">
      <c r="A49" t="s">
        <v>66</v>
      </c>
      <c r="B49" t="s">
        <v>20</v>
      </c>
      <c r="C49">
        <v>0.5</v>
      </c>
      <c r="D49">
        <v>0.25</v>
      </c>
      <c r="E49">
        <v>400</v>
      </c>
      <c r="F49">
        <v>1332.419019905976</v>
      </c>
      <c r="G49">
        <v>53.531999826431267</v>
      </c>
      <c r="H49">
        <v>0</v>
      </c>
      <c r="I49">
        <v>0.22666666666666671</v>
      </c>
      <c r="J49">
        <v>0.36956521739130432</v>
      </c>
      <c r="K49">
        <v>17</v>
      </c>
      <c r="L49">
        <v>46</v>
      </c>
      <c r="M49">
        <v>46</v>
      </c>
      <c r="N49">
        <f t="shared" si="0"/>
        <v>0.62580645161290327</v>
      </c>
    </row>
    <row r="50" spans="1:14" x14ac:dyDescent="0.3">
      <c r="A50" t="s">
        <v>66</v>
      </c>
      <c r="B50" t="s">
        <v>21</v>
      </c>
      <c r="C50">
        <v>0.5</v>
      </c>
      <c r="D50">
        <v>0.5</v>
      </c>
      <c r="E50">
        <v>400</v>
      </c>
      <c r="F50">
        <v>1370.9804168446369</v>
      </c>
      <c r="G50">
        <v>65.83899998664856</v>
      </c>
      <c r="H50">
        <v>0</v>
      </c>
      <c r="I50">
        <v>0.22666666666666671</v>
      </c>
      <c r="J50">
        <v>0.36956521739130432</v>
      </c>
      <c r="K50">
        <v>17</v>
      </c>
      <c r="L50">
        <v>46</v>
      </c>
      <c r="M50">
        <v>46</v>
      </c>
      <c r="N50">
        <f t="shared" si="0"/>
        <v>0.62580645161290327</v>
      </c>
    </row>
    <row r="51" spans="1:14" x14ac:dyDescent="0.3">
      <c r="A51" t="s">
        <v>66</v>
      </c>
      <c r="B51" t="s">
        <v>25</v>
      </c>
      <c r="C51">
        <v>1</v>
      </c>
      <c r="D51">
        <v>0.5</v>
      </c>
      <c r="E51">
        <v>400</v>
      </c>
      <c r="F51">
        <v>1662.846438494629</v>
      </c>
      <c r="G51">
        <v>103.9629998207092</v>
      </c>
      <c r="H51">
        <v>0</v>
      </c>
      <c r="I51">
        <v>0.22666666666666671</v>
      </c>
      <c r="J51">
        <v>0.36956521739130432</v>
      </c>
      <c r="K51">
        <v>17</v>
      </c>
      <c r="L51">
        <v>46</v>
      </c>
      <c r="M51">
        <v>46</v>
      </c>
      <c r="N51">
        <f t="shared" si="0"/>
        <v>0.62580645161290327</v>
      </c>
    </row>
    <row r="52" spans="1:14" x14ac:dyDescent="0.3">
      <c r="A52" t="s">
        <v>66</v>
      </c>
      <c r="B52" t="s">
        <v>37</v>
      </c>
      <c r="C52">
        <v>0.5</v>
      </c>
      <c r="D52">
        <v>0.5</v>
      </c>
      <c r="E52">
        <v>800</v>
      </c>
      <c r="F52">
        <v>1336.315038182837</v>
      </c>
      <c r="G52">
        <v>83.378999948501587</v>
      </c>
      <c r="H52">
        <v>0</v>
      </c>
      <c r="I52">
        <v>0.22666666666666671</v>
      </c>
      <c r="J52">
        <v>0.36956521739130432</v>
      </c>
      <c r="K52">
        <v>17</v>
      </c>
      <c r="L52">
        <v>46</v>
      </c>
      <c r="M52">
        <v>46</v>
      </c>
      <c r="N52">
        <f t="shared" si="0"/>
        <v>0.62580645161290327</v>
      </c>
    </row>
    <row r="53" spans="1:14" x14ac:dyDescent="0.3">
      <c r="A53" t="s">
        <v>66</v>
      </c>
      <c r="B53" t="s">
        <v>41</v>
      </c>
      <c r="C53">
        <v>1</v>
      </c>
      <c r="D53">
        <v>0.5</v>
      </c>
      <c r="E53">
        <v>800</v>
      </c>
      <c r="F53">
        <v>1624.243513783304</v>
      </c>
      <c r="G53">
        <v>107.9649999141693</v>
      </c>
      <c r="H53">
        <v>0</v>
      </c>
      <c r="I53">
        <v>0.22666666666666671</v>
      </c>
      <c r="J53">
        <v>0.36956521739130432</v>
      </c>
      <c r="K53">
        <v>17</v>
      </c>
      <c r="L53">
        <v>46</v>
      </c>
      <c r="M53">
        <v>46</v>
      </c>
      <c r="N53">
        <f t="shared" si="0"/>
        <v>0.62580645161290327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7FD65-7EC8-46D4-8160-DC23336119B4}">
  <dimension ref="A1:N53"/>
  <sheetViews>
    <sheetView workbookViewId="0">
      <selection activeCell="N2" sqref="N2"/>
    </sheetView>
  </sheetViews>
  <sheetFormatPr defaultRowHeight="14.4" x14ac:dyDescent="0.3"/>
  <cols>
    <col min="2" max="2" width="16.5546875" bestFit="1" customWidth="1"/>
    <col min="3" max="3" width="13.33203125" bestFit="1" customWidth="1"/>
    <col min="7" max="7" width="12" bestFit="1" customWidth="1"/>
    <col min="9" max="9" width="15.77734375" bestFit="1" customWidth="1"/>
    <col min="10" max="10" width="16.88671875" bestFit="1" customWidth="1"/>
    <col min="11" max="11" width="14.5546875" bestFit="1" customWidth="1"/>
    <col min="12" max="12" width="10" bestFit="1" customWidth="1"/>
    <col min="13" max="13" width="12.21875" bestFit="1" customWidth="1"/>
    <col min="14" max="14" width="15.109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67</v>
      </c>
    </row>
    <row r="2" spans="1:14" x14ac:dyDescent="0.3">
      <c r="A2" t="s">
        <v>13</v>
      </c>
      <c r="B2" t="s">
        <v>14</v>
      </c>
      <c r="C2">
        <v>0</v>
      </c>
      <c r="D2">
        <v>0</v>
      </c>
      <c r="E2">
        <v>200</v>
      </c>
      <c r="F2">
        <v>1359.5399</v>
      </c>
      <c r="G2">
        <v>802.24499988555908</v>
      </c>
      <c r="H2">
        <v>9.7680104864786261E-5</v>
      </c>
      <c r="I2">
        <v>0.3300970873786408</v>
      </c>
      <c r="J2">
        <v>0.49635036496350371</v>
      </c>
      <c r="K2">
        <v>68</v>
      </c>
      <c r="L2">
        <v>137</v>
      </c>
      <c r="M2">
        <v>137</v>
      </c>
      <c r="N2">
        <f>(K2+(379-(L2+M2-K2)))/379</f>
        <v>0.63588390501319259</v>
      </c>
    </row>
    <row r="3" spans="1:14" x14ac:dyDescent="0.3">
      <c r="A3" t="s">
        <v>13</v>
      </c>
      <c r="B3" t="s">
        <v>15</v>
      </c>
      <c r="C3">
        <v>0</v>
      </c>
      <c r="D3">
        <v>0</v>
      </c>
      <c r="E3">
        <v>400</v>
      </c>
      <c r="F3">
        <v>1359.5399</v>
      </c>
      <c r="G3">
        <v>803.50699996948242</v>
      </c>
      <c r="H3">
        <v>5.0090475461724892E-5</v>
      </c>
      <c r="I3">
        <v>0.3300970873786408</v>
      </c>
      <c r="J3">
        <v>0.49635036496350371</v>
      </c>
      <c r="K3">
        <v>68</v>
      </c>
      <c r="L3">
        <v>137</v>
      </c>
      <c r="M3">
        <v>137</v>
      </c>
      <c r="N3">
        <f t="shared" ref="N3:N53" si="0">(K3+(379-(L3+M3-K3)))/379</f>
        <v>0.63588390501319259</v>
      </c>
    </row>
    <row r="4" spans="1:14" x14ac:dyDescent="0.3">
      <c r="A4" t="s">
        <v>13</v>
      </c>
      <c r="B4" t="s">
        <v>16</v>
      </c>
      <c r="C4">
        <v>0</v>
      </c>
      <c r="D4">
        <v>0</v>
      </c>
      <c r="E4">
        <v>800</v>
      </c>
      <c r="F4">
        <v>1359.5399</v>
      </c>
      <c r="G4">
        <v>1052.434000015259</v>
      </c>
      <c r="H4">
        <v>9.6356127542484119E-6</v>
      </c>
      <c r="I4">
        <v>0.3300970873786408</v>
      </c>
      <c r="J4">
        <v>0.49635036496350371</v>
      </c>
      <c r="K4">
        <v>68</v>
      </c>
      <c r="L4">
        <v>137</v>
      </c>
      <c r="M4">
        <v>137</v>
      </c>
      <c r="N4">
        <f t="shared" si="0"/>
        <v>0.63588390501319259</v>
      </c>
    </row>
    <row r="5" spans="1:14" x14ac:dyDescent="0.3">
      <c r="A5" t="s">
        <v>13</v>
      </c>
      <c r="B5" t="s">
        <v>17</v>
      </c>
      <c r="C5">
        <v>0</v>
      </c>
      <c r="D5">
        <v>0</v>
      </c>
      <c r="E5">
        <v>1200</v>
      </c>
      <c r="F5">
        <v>1359.5399</v>
      </c>
      <c r="G5">
        <v>1472.1589999198909</v>
      </c>
      <c r="H5">
        <v>2.2948940299675089E-5</v>
      </c>
      <c r="I5">
        <v>0.3300970873786408</v>
      </c>
      <c r="J5">
        <v>0.49635036496350371</v>
      </c>
      <c r="K5">
        <v>68</v>
      </c>
      <c r="L5">
        <v>137</v>
      </c>
      <c r="M5">
        <v>137</v>
      </c>
      <c r="N5">
        <f t="shared" si="0"/>
        <v>0.63588390501319259</v>
      </c>
    </row>
    <row r="6" spans="1:14" x14ac:dyDescent="0.3">
      <c r="A6" t="s">
        <v>13</v>
      </c>
      <c r="B6" t="s">
        <v>18</v>
      </c>
      <c r="C6">
        <v>0.5</v>
      </c>
      <c r="D6">
        <v>0</v>
      </c>
      <c r="E6">
        <v>400</v>
      </c>
      <c r="F6">
        <v>1789.063735136989</v>
      </c>
      <c r="G6">
        <v>3600.135999917984</v>
      </c>
      <c r="H6">
        <v>3.2932830409647131E-3</v>
      </c>
      <c r="I6">
        <v>0.34313725490196079</v>
      </c>
      <c r="J6">
        <v>0.51094890510948909</v>
      </c>
      <c r="K6">
        <v>70</v>
      </c>
      <c r="L6">
        <v>137</v>
      </c>
      <c r="M6">
        <v>137</v>
      </c>
      <c r="N6">
        <f t="shared" si="0"/>
        <v>0.64643799472295516</v>
      </c>
    </row>
    <row r="7" spans="1:14" x14ac:dyDescent="0.3">
      <c r="A7" t="s">
        <v>13</v>
      </c>
      <c r="B7" t="s">
        <v>19</v>
      </c>
      <c r="C7">
        <v>0.5</v>
      </c>
      <c r="D7">
        <v>0.1</v>
      </c>
      <c r="E7">
        <v>400</v>
      </c>
      <c r="F7">
        <v>1804.0015927352511</v>
      </c>
      <c r="G7">
        <v>3600.2450001239781</v>
      </c>
      <c r="H7">
        <v>3.9638969405147257E-3</v>
      </c>
      <c r="I7">
        <v>0.34313725490196079</v>
      </c>
      <c r="J7">
        <v>0.51094890510948909</v>
      </c>
      <c r="K7">
        <v>70</v>
      </c>
      <c r="L7">
        <v>137</v>
      </c>
      <c r="M7">
        <v>137</v>
      </c>
      <c r="N7">
        <f t="shared" si="0"/>
        <v>0.64643799472295516</v>
      </c>
    </row>
    <row r="8" spans="1:14" x14ac:dyDescent="0.3">
      <c r="A8" t="s">
        <v>13</v>
      </c>
      <c r="B8" t="s">
        <v>20</v>
      </c>
      <c r="C8">
        <v>0.5</v>
      </c>
      <c r="D8">
        <v>0.25</v>
      </c>
      <c r="E8">
        <v>400</v>
      </c>
      <c r="F8">
        <v>1827.1236777281049</v>
      </c>
      <c r="G8">
        <v>3600.2079999446869</v>
      </c>
      <c r="H8">
        <v>3.4627917096164188E-3</v>
      </c>
      <c r="I8">
        <v>0.34313725490196079</v>
      </c>
      <c r="J8">
        <v>0.51094890510948909</v>
      </c>
      <c r="K8">
        <v>70</v>
      </c>
      <c r="L8">
        <v>137</v>
      </c>
      <c r="M8">
        <v>137</v>
      </c>
      <c r="N8">
        <f t="shared" si="0"/>
        <v>0.64643799472295516</v>
      </c>
    </row>
    <row r="9" spans="1:14" x14ac:dyDescent="0.3">
      <c r="A9" t="s">
        <v>13</v>
      </c>
      <c r="B9" t="s">
        <v>21</v>
      </c>
      <c r="C9">
        <v>0.5</v>
      </c>
      <c r="D9">
        <v>0.5</v>
      </c>
      <c r="E9">
        <v>400</v>
      </c>
      <c r="F9">
        <v>1865.9107640695629</v>
      </c>
      <c r="G9">
        <v>3600.3529999256129</v>
      </c>
      <c r="H9">
        <v>4.2820899459625741E-3</v>
      </c>
      <c r="I9">
        <v>0.33658536585365861</v>
      </c>
      <c r="J9">
        <v>0.5036496350364964</v>
      </c>
      <c r="K9">
        <v>69</v>
      </c>
      <c r="L9">
        <v>137</v>
      </c>
      <c r="M9">
        <v>137</v>
      </c>
      <c r="N9">
        <f t="shared" si="0"/>
        <v>0.64116094986807393</v>
      </c>
    </row>
    <row r="10" spans="1:14" x14ac:dyDescent="0.3">
      <c r="A10" t="s">
        <v>13</v>
      </c>
      <c r="B10" t="s">
        <v>22</v>
      </c>
      <c r="C10">
        <v>1</v>
      </c>
      <c r="D10">
        <v>0</v>
      </c>
      <c r="E10">
        <v>400</v>
      </c>
      <c r="F10">
        <v>2224.6715235421038</v>
      </c>
      <c r="G10">
        <v>3600.4700000286098</v>
      </c>
      <c r="H10">
        <v>5.456720145828849E-3</v>
      </c>
      <c r="I10">
        <v>0.32367149758454111</v>
      </c>
      <c r="J10">
        <v>0.48905109489051102</v>
      </c>
      <c r="K10">
        <v>67</v>
      </c>
      <c r="L10">
        <v>137</v>
      </c>
      <c r="M10">
        <v>137</v>
      </c>
      <c r="N10">
        <f t="shared" si="0"/>
        <v>0.63060686015831136</v>
      </c>
    </row>
    <row r="11" spans="1:14" x14ac:dyDescent="0.3">
      <c r="A11" t="s">
        <v>13</v>
      </c>
      <c r="B11" t="s">
        <v>23</v>
      </c>
      <c r="C11">
        <v>1</v>
      </c>
      <c r="D11">
        <v>0.1</v>
      </c>
      <c r="E11">
        <v>400</v>
      </c>
      <c r="F11">
        <v>2238.7270746251602</v>
      </c>
      <c r="G11">
        <v>3600.2369999885559</v>
      </c>
      <c r="H11">
        <v>6.0586359762455798E-3</v>
      </c>
      <c r="I11">
        <v>0.32367149758454111</v>
      </c>
      <c r="J11">
        <v>0.48905109489051102</v>
      </c>
      <c r="K11">
        <v>67</v>
      </c>
      <c r="L11">
        <v>137</v>
      </c>
      <c r="M11">
        <v>137</v>
      </c>
      <c r="N11">
        <f t="shared" si="0"/>
        <v>0.63060686015831136</v>
      </c>
    </row>
    <row r="12" spans="1:14" x14ac:dyDescent="0.3">
      <c r="A12" t="s">
        <v>13</v>
      </c>
      <c r="B12" t="s">
        <v>24</v>
      </c>
      <c r="C12">
        <v>1</v>
      </c>
      <c r="D12">
        <v>0.25</v>
      </c>
      <c r="E12">
        <v>400</v>
      </c>
      <c r="F12">
        <v>2261.4390149842729</v>
      </c>
      <c r="G12">
        <v>3600.2780001163478</v>
      </c>
      <c r="H12">
        <v>6.5574135284639833E-3</v>
      </c>
      <c r="I12">
        <v>0.32367149758454111</v>
      </c>
      <c r="J12">
        <v>0.48905109489051102</v>
      </c>
      <c r="K12">
        <v>67</v>
      </c>
      <c r="L12">
        <v>137</v>
      </c>
      <c r="M12">
        <v>137</v>
      </c>
      <c r="N12">
        <f t="shared" si="0"/>
        <v>0.63060686015831136</v>
      </c>
    </row>
    <row r="13" spans="1:14" x14ac:dyDescent="0.3">
      <c r="A13" t="s">
        <v>13</v>
      </c>
      <c r="B13" t="s">
        <v>25</v>
      </c>
      <c r="C13">
        <v>1</v>
      </c>
      <c r="D13">
        <v>0.5</v>
      </c>
      <c r="E13">
        <v>400</v>
      </c>
      <c r="F13">
        <v>2298.7015222593609</v>
      </c>
      <c r="G13">
        <v>3600.288000106812</v>
      </c>
      <c r="H13">
        <v>6.9656578076866876E-3</v>
      </c>
      <c r="I13">
        <v>0.33658536585365861</v>
      </c>
      <c r="J13">
        <v>0.5036496350364964</v>
      </c>
      <c r="K13">
        <v>69</v>
      </c>
      <c r="L13">
        <v>137</v>
      </c>
      <c r="M13">
        <v>137</v>
      </c>
      <c r="N13">
        <f t="shared" si="0"/>
        <v>0.64116094986807393</v>
      </c>
    </row>
    <row r="14" spans="1:14" x14ac:dyDescent="0.3">
      <c r="A14" t="s">
        <v>13</v>
      </c>
      <c r="B14" t="s">
        <v>26</v>
      </c>
      <c r="C14">
        <v>2</v>
      </c>
      <c r="D14">
        <v>0</v>
      </c>
      <c r="E14">
        <v>400</v>
      </c>
      <c r="F14">
        <v>3100.768825827623</v>
      </c>
      <c r="G14">
        <v>3600.413000106812</v>
      </c>
      <c r="H14">
        <v>9.7365445545565497E-3</v>
      </c>
      <c r="I14">
        <v>0.3300970873786408</v>
      </c>
      <c r="J14">
        <v>0.49635036496350371</v>
      </c>
      <c r="K14">
        <v>68</v>
      </c>
      <c r="L14">
        <v>137</v>
      </c>
      <c r="M14">
        <v>137</v>
      </c>
      <c r="N14">
        <f t="shared" si="0"/>
        <v>0.63588390501319259</v>
      </c>
    </row>
    <row r="15" spans="1:14" x14ac:dyDescent="0.3">
      <c r="A15" t="s">
        <v>13</v>
      </c>
      <c r="B15" t="s">
        <v>27</v>
      </c>
      <c r="C15">
        <v>2</v>
      </c>
      <c r="D15">
        <v>0.1</v>
      </c>
      <c r="E15">
        <v>400</v>
      </c>
      <c r="F15">
        <v>3115.774256897264</v>
      </c>
      <c r="G15">
        <v>3600.2540001869202</v>
      </c>
      <c r="H15">
        <v>8.2910674638219731E-3</v>
      </c>
      <c r="I15">
        <v>0.32367149758454111</v>
      </c>
      <c r="J15">
        <v>0.48905109489051102</v>
      </c>
      <c r="K15">
        <v>67</v>
      </c>
      <c r="L15">
        <v>137</v>
      </c>
      <c r="M15">
        <v>137</v>
      </c>
      <c r="N15">
        <f t="shared" si="0"/>
        <v>0.63060686015831136</v>
      </c>
    </row>
    <row r="16" spans="1:14" x14ac:dyDescent="0.3">
      <c r="A16" t="s">
        <v>13</v>
      </c>
      <c r="B16" t="s">
        <v>28</v>
      </c>
      <c r="C16">
        <v>2</v>
      </c>
      <c r="D16">
        <v>0.25</v>
      </c>
      <c r="E16">
        <v>400</v>
      </c>
      <c r="F16">
        <v>3138.2898895113358</v>
      </c>
      <c r="G16">
        <v>3600.4089999198909</v>
      </c>
      <c r="H16">
        <v>1.147051809538276E-2</v>
      </c>
      <c r="I16">
        <v>0.32367149758454111</v>
      </c>
      <c r="J16">
        <v>0.48905109489051102</v>
      </c>
      <c r="K16">
        <v>67</v>
      </c>
      <c r="L16">
        <v>137</v>
      </c>
      <c r="M16">
        <v>137</v>
      </c>
      <c r="N16">
        <f t="shared" si="0"/>
        <v>0.63060686015831136</v>
      </c>
    </row>
    <row r="17" spans="1:14" x14ac:dyDescent="0.3">
      <c r="A17" t="s">
        <v>13</v>
      </c>
      <c r="B17" t="s">
        <v>29</v>
      </c>
      <c r="C17">
        <v>2</v>
      </c>
      <c r="D17">
        <v>0.5</v>
      </c>
      <c r="E17">
        <v>400</v>
      </c>
      <c r="F17">
        <v>3175.885877459415</v>
      </c>
      <c r="G17">
        <v>3600.2260000705719</v>
      </c>
      <c r="H17">
        <v>9.4003532713266801E-3</v>
      </c>
      <c r="I17">
        <v>0.32367149758454111</v>
      </c>
      <c r="J17">
        <v>0.48905109489051102</v>
      </c>
      <c r="K17">
        <v>67</v>
      </c>
      <c r="L17">
        <v>137</v>
      </c>
      <c r="M17">
        <v>137</v>
      </c>
      <c r="N17">
        <f t="shared" si="0"/>
        <v>0.63060686015831136</v>
      </c>
    </row>
    <row r="18" spans="1:14" x14ac:dyDescent="0.3">
      <c r="A18" t="s">
        <v>13</v>
      </c>
      <c r="B18" t="s">
        <v>30</v>
      </c>
      <c r="C18">
        <v>3</v>
      </c>
      <c r="D18">
        <v>0</v>
      </c>
      <c r="E18">
        <v>400</v>
      </c>
      <c r="F18">
        <v>3985.567730412175</v>
      </c>
      <c r="G18">
        <v>3600.2939999103551</v>
      </c>
      <c r="H18">
        <v>1.500158865736588E-2</v>
      </c>
      <c r="I18">
        <v>0.3300970873786408</v>
      </c>
      <c r="J18">
        <v>0.49635036496350371</v>
      </c>
      <c r="K18">
        <v>68</v>
      </c>
      <c r="L18">
        <v>137</v>
      </c>
      <c r="M18">
        <v>137</v>
      </c>
      <c r="N18">
        <f t="shared" si="0"/>
        <v>0.63588390501319259</v>
      </c>
    </row>
    <row r="19" spans="1:14" x14ac:dyDescent="0.3">
      <c r="A19" t="s">
        <v>13</v>
      </c>
      <c r="B19" t="s">
        <v>31</v>
      </c>
      <c r="C19">
        <v>3</v>
      </c>
      <c r="D19">
        <v>0.1</v>
      </c>
      <c r="E19">
        <v>400</v>
      </c>
      <c r="F19">
        <v>3977.573764809435</v>
      </c>
      <c r="G19">
        <v>3600.3509998321529</v>
      </c>
      <c r="H19">
        <v>1.6620381396414721E-2</v>
      </c>
      <c r="I19">
        <v>0.37</v>
      </c>
      <c r="J19">
        <v>0.54014598540145986</v>
      </c>
      <c r="K19">
        <v>74</v>
      </c>
      <c r="L19">
        <v>137</v>
      </c>
      <c r="M19">
        <v>137</v>
      </c>
      <c r="N19">
        <f t="shared" si="0"/>
        <v>0.66754617414248019</v>
      </c>
    </row>
    <row r="20" spans="1:14" x14ac:dyDescent="0.3">
      <c r="A20" t="s">
        <v>13</v>
      </c>
      <c r="B20" t="s">
        <v>32</v>
      </c>
      <c r="C20">
        <v>3</v>
      </c>
      <c r="D20">
        <v>0.25</v>
      </c>
      <c r="E20">
        <v>400</v>
      </c>
      <c r="F20">
        <v>4015.0958587566188</v>
      </c>
      <c r="G20">
        <v>3600.4659998416901</v>
      </c>
      <c r="H20">
        <v>1.185415936472667E-2</v>
      </c>
      <c r="I20">
        <v>0.33658536585365861</v>
      </c>
      <c r="J20">
        <v>0.5036496350364964</v>
      </c>
      <c r="K20">
        <v>69</v>
      </c>
      <c r="L20">
        <v>137</v>
      </c>
      <c r="M20">
        <v>137</v>
      </c>
      <c r="N20">
        <f t="shared" si="0"/>
        <v>0.64116094986807393</v>
      </c>
    </row>
    <row r="21" spans="1:14" x14ac:dyDescent="0.3">
      <c r="A21" t="s">
        <v>13</v>
      </c>
      <c r="B21" t="s">
        <v>33</v>
      </c>
      <c r="C21">
        <v>3</v>
      </c>
      <c r="D21">
        <v>0.5</v>
      </c>
      <c r="E21">
        <v>400</v>
      </c>
      <c r="F21">
        <v>4056.3905076325032</v>
      </c>
      <c r="G21">
        <v>3600.3519999980931</v>
      </c>
      <c r="H21">
        <v>1.2016410434402139E-2</v>
      </c>
      <c r="I21">
        <v>0.3300970873786408</v>
      </c>
      <c r="J21">
        <v>0.49635036496350371</v>
      </c>
      <c r="K21">
        <v>68</v>
      </c>
      <c r="L21">
        <v>137</v>
      </c>
      <c r="M21">
        <v>137</v>
      </c>
      <c r="N21">
        <f t="shared" si="0"/>
        <v>0.63588390501319259</v>
      </c>
    </row>
    <row r="22" spans="1:14" x14ac:dyDescent="0.3">
      <c r="A22" t="s">
        <v>13</v>
      </c>
      <c r="B22" t="s">
        <v>34</v>
      </c>
      <c r="C22">
        <v>0.5</v>
      </c>
      <c r="D22">
        <v>0</v>
      </c>
      <c r="E22">
        <v>800</v>
      </c>
      <c r="F22">
        <v>1792.5338231966839</v>
      </c>
      <c r="G22">
        <v>3600.3740000724788</v>
      </c>
      <c r="H22">
        <v>4.2141280914063106E-3</v>
      </c>
      <c r="I22">
        <v>0.3300970873786408</v>
      </c>
      <c r="J22">
        <v>0.49635036496350371</v>
      </c>
      <c r="K22">
        <v>68</v>
      </c>
      <c r="L22">
        <v>137</v>
      </c>
      <c r="M22">
        <v>137</v>
      </c>
      <c r="N22">
        <f t="shared" si="0"/>
        <v>0.63588390501319259</v>
      </c>
    </row>
    <row r="23" spans="1:14" x14ac:dyDescent="0.3">
      <c r="A23" t="s">
        <v>13</v>
      </c>
      <c r="B23" t="s">
        <v>35</v>
      </c>
      <c r="C23">
        <v>0.5</v>
      </c>
      <c r="D23">
        <v>0.1</v>
      </c>
      <c r="E23">
        <v>800</v>
      </c>
      <c r="F23">
        <v>1798.9909674673379</v>
      </c>
      <c r="G23">
        <v>3600.2520000934601</v>
      </c>
      <c r="H23">
        <v>3.4693372586335029E-3</v>
      </c>
      <c r="I23">
        <v>0.34975369458128081</v>
      </c>
      <c r="J23">
        <v>0.51824817518248179</v>
      </c>
      <c r="K23">
        <v>71</v>
      </c>
      <c r="L23">
        <v>137</v>
      </c>
      <c r="M23">
        <v>137</v>
      </c>
      <c r="N23">
        <f t="shared" si="0"/>
        <v>0.65171503957783639</v>
      </c>
    </row>
    <row r="24" spans="1:14" x14ac:dyDescent="0.3">
      <c r="A24" t="s">
        <v>13</v>
      </c>
      <c r="B24" t="s">
        <v>36</v>
      </c>
      <c r="C24">
        <v>0.5</v>
      </c>
      <c r="D24">
        <v>0.25</v>
      </c>
      <c r="E24">
        <v>800</v>
      </c>
      <c r="F24">
        <v>1809.5832761407739</v>
      </c>
      <c r="G24">
        <v>3600.2070000171661</v>
      </c>
      <c r="H24">
        <v>3.456556567788577E-3</v>
      </c>
      <c r="I24">
        <v>0.33658536585365861</v>
      </c>
      <c r="J24">
        <v>0.5036496350364964</v>
      </c>
      <c r="K24">
        <v>69</v>
      </c>
      <c r="L24">
        <v>137</v>
      </c>
      <c r="M24">
        <v>137</v>
      </c>
      <c r="N24">
        <f t="shared" si="0"/>
        <v>0.64116094986807393</v>
      </c>
    </row>
    <row r="25" spans="1:14" x14ac:dyDescent="0.3">
      <c r="A25" t="s">
        <v>13</v>
      </c>
      <c r="B25" t="s">
        <v>37</v>
      </c>
      <c r="C25">
        <v>0.5</v>
      </c>
      <c r="D25">
        <v>0.5</v>
      </c>
      <c r="E25">
        <v>800</v>
      </c>
      <c r="F25">
        <v>1825.3305443856079</v>
      </c>
      <c r="G25">
        <v>3600.305999994278</v>
      </c>
      <c r="H25">
        <v>4.3103037733434593E-3</v>
      </c>
      <c r="I25">
        <v>0.34313725490196079</v>
      </c>
      <c r="J25">
        <v>0.51094890510948909</v>
      </c>
      <c r="K25">
        <v>70</v>
      </c>
      <c r="L25">
        <v>137</v>
      </c>
      <c r="M25">
        <v>137</v>
      </c>
      <c r="N25">
        <f t="shared" si="0"/>
        <v>0.64643799472295516</v>
      </c>
    </row>
    <row r="26" spans="1:14" x14ac:dyDescent="0.3">
      <c r="A26" t="s">
        <v>13</v>
      </c>
      <c r="B26" t="s">
        <v>38</v>
      </c>
      <c r="C26">
        <v>1</v>
      </c>
      <c r="D26">
        <v>0</v>
      </c>
      <c r="E26">
        <v>800</v>
      </c>
      <c r="F26">
        <v>2229.9453793178359</v>
      </c>
      <c r="G26">
        <v>3600.305999994278</v>
      </c>
      <c r="H26">
        <v>4.6714408930155962E-3</v>
      </c>
      <c r="I26">
        <v>0.33658536585365861</v>
      </c>
      <c r="J26">
        <v>0.5036496350364964</v>
      </c>
      <c r="K26">
        <v>69</v>
      </c>
      <c r="L26">
        <v>137</v>
      </c>
      <c r="M26">
        <v>137</v>
      </c>
      <c r="N26">
        <f t="shared" si="0"/>
        <v>0.64116094986807393</v>
      </c>
    </row>
    <row r="27" spans="1:14" x14ac:dyDescent="0.3">
      <c r="A27" t="s">
        <v>13</v>
      </c>
      <c r="B27" t="s">
        <v>39</v>
      </c>
      <c r="C27">
        <v>1</v>
      </c>
      <c r="D27">
        <v>0.1</v>
      </c>
      <c r="E27">
        <v>800</v>
      </c>
      <c r="F27">
        <v>2235.648056959019</v>
      </c>
      <c r="G27">
        <v>3600.4150002002721</v>
      </c>
      <c r="H27">
        <v>5.1339342890549767E-3</v>
      </c>
      <c r="I27">
        <v>0.3300970873786408</v>
      </c>
      <c r="J27">
        <v>0.49635036496350371</v>
      </c>
      <c r="K27">
        <v>68</v>
      </c>
      <c r="L27">
        <v>137</v>
      </c>
      <c r="M27">
        <v>137</v>
      </c>
      <c r="N27">
        <f t="shared" si="0"/>
        <v>0.63588390501319259</v>
      </c>
    </row>
    <row r="28" spans="1:14" x14ac:dyDescent="0.3">
      <c r="A28" t="s">
        <v>13</v>
      </c>
      <c r="B28" t="s">
        <v>40</v>
      </c>
      <c r="C28">
        <v>1</v>
      </c>
      <c r="D28">
        <v>0.25</v>
      </c>
      <c r="E28">
        <v>800</v>
      </c>
      <c r="F28">
        <v>2243.9204310906339</v>
      </c>
      <c r="G28">
        <v>3600.319000005722</v>
      </c>
      <c r="H28">
        <v>5.5679122606642354E-3</v>
      </c>
      <c r="I28">
        <v>0.34975369458128081</v>
      </c>
      <c r="J28">
        <v>0.51824817518248179</v>
      </c>
      <c r="K28">
        <v>71</v>
      </c>
      <c r="L28">
        <v>137</v>
      </c>
      <c r="M28">
        <v>137</v>
      </c>
      <c r="N28">
        <f t="shared" si="0"/>
        <v>0.65171503957783639</v>
      </c>
    </row>
    <row r="29" spans="1:14" x14ac:dyDescent="0.3">
      <c r="A29" t="s">
        <v>13</v>
      </c>
      <c r="B29" t="s">
        <v>41</v>
      </c>
      <c r="C29">
        <v>1</v>
      </c>
      <c r="D29">
        <v>0.5</v>
      </c>
      <c r="E29">
        <v>800</v>
      </c>
      <c r="F29">
        <v>2261.5552414755189</v>
      </c>
      <c r="G29">
        <v>3600.4120001792912</v>
      </c>
      <c r="H29">
        <v>4.6490010200295664E-3</v>
      </c>
      <c r="I29">
        <v>0.33658536585365861</v>
      </c>
      <c r="J29">
        <v>0.5036496350364964</v>
      </c>
      <c r="K29">
        <v>69</v>
      </c>
      <c r="L29">
        <v>137</v>
      </c>
      <c r="M29">
        <v>137</v>
      </c>
      <c r="N29">
        <f t="shared" si="0"/>
        <v>0.64116094986807393</v>
      </c>
    </row>
    <row r="30" spans="1:14" x14ac:dyDescent="0.3">
      <c r="A30" t="s">
        <v>13</v>
      </c>
      <c r="B30" t="s">
        <v>42</v>
      </c>
      <c r="C30">
        <v>2</v>
      </c>
      <c r="D30">
        <v>0</v>
      </c>
      <c r="E30">
        <v>800</v>
      </c>
      <c r="F30">
        <v>3106.1433380688959</v>
      </c>
      <c r="G30">
        <v>3600.4990000724788</v>
      </c>
      <c r="H30">
        <v>8.2059340638767769E-3</v>
      </c>
      <c r="I30">
        <v>0.3300970873786408</v>
      </c>
      <c r="J30">
        <v>0.49635036496350371</v>
      </c>
      <c r="K30">
        <v>68</v>
      </c>
      <c r="L30">
        <v>137</v>
      </c>
      <c r="M30">
        <v>137</v>
      </c>
      <c r="N30">
        <f t="shared" si="0"/>
        <v>0.63588390501319259</v>
      </c>
    </row>
    <row r="31" spans="1:14" x14ac:dyDescent="0.3">
      <c r="A31" t="s">
        <v>13</v>
      </c>
      <c r="B31" t="s">
        <v>43</v>
      </c>
      <c r="C31">
        <v>2</v>
      </c>
      <c r="D31">
        <v>0.1</v>
      </c>
      <c r="E31">
        <v>800</v>
      </c>
      <c r="F31">
        <v>3097.5527272438362</v>
      </c>
      <c r="G31">
        <v>3600.3020000457759</v>
      </c>
      <c r="H31">
        <v>1.206399563792639E-2</v>
      </c>
      <c r="I31">
        <v>0.3300970873786408</v>
      </c>
      <c r="J31">
        <v>0.49635036496350371</v>
      </c>
      <c r="K31">
        <v>68</v>
      </c>
      <c r="L31">
        <v>137</v>
      </c>
      <c r="M31">
        <v>137</v>
      </c>
      <c r="N31">
        <f t="shared" si="0"/>
        <v>0.63588390501319259</v>
      </c>
    </row>
    <row r="32" spans="1:14" x14ac:dyDescent="0.3">
      <c r="A32" t="s">
        <v>13</v>
      </c>
      <c r="B32" t="s">
        <v>44</v>
      </c>
      <c r="C32">
        <v>2</v>
      </c>
      <c r="D32">
        <v>0.25</v>
      </c>
      <c r="E32">
        <v>800</v>
      </c>
      <c r="F32">
        <v>3112.363580137765</v>
      </c>
      <c r="G32">
        <v>3600.3329999446869</v>
      </c>
      <c r="H32">
        <v>1.0676324222412881E-2</v>
      </c>
      <c r="I32">
        <v>0.32367149758454111</v>
      </c>
      <c r="J32">
        <v>0.48905109489051102</v>
      </c>
      <c r="K32">
        <v>67</v>
      </c>
      <c r="L32">
        <v>137</v>
      </c>
      <c r="M32">
        <v>137</v>
      </c>
      <c r="N32">
        <f t="shared" si="0"/>
        <v>0.63060686015831136</v>
      </c>
    </row>
    <row r="33" spans="1:14" x14ac:dyDescent="0.3">
      <c r="A33" t="s">
        <v>13</v>
      </c>
      <c r="B33" t="s">
        <v>45</v>
      </c>
      <c r="C33">
        <v>2</v>
      </c>
      <c r="D33">
        <v>0.5</v>
      </c>
      <c r="E33">
        <v>800</v>
      </c>
      <c r="F33">
        <v>3103.234091187298</v>
      </c>
      <c r="G33">
        <v>3600.2980000972748</v>
      </c>
      <c r="H33">
        <v>1.9279555277758952E-2</v>
      </c>
      <c r="I33">
        <v>0.35643564356435642</v>
      </c>
      <c r="J33">
        <v>0.52554744525547448</v>
      </c>
      <c r="K33">
        <v>72</v>
      </c>
      <c r="L33">
        <v>137</v>
      </c>
      <c r="M33">
        <v>137</v>
      </c>
      <c r="N33">
        <f t="shared" si="0"/>
        <v>0.65699208443271773</v>
      </c>
    </row>
    <row r="34" spans="1:14" x14ac:dyDescent="0.3">
      <c r="A34" t="s">
        <v>13</v>
      </c>
      <c r="B34" t="s">
        <v>46</v>
      </c>
      <c r="C34">
        <v>3</v>
      </c>
      <c r="D34">
        <v>0</v>
      </c>
      <c r="E34">
        <v>800</v>
      </c>
      <c r="F34">
        <v>3975.059484161779</v>
      </c>
      <c r="G34">
        <v>3600.253999948502</v>
      </c>
      <c r="H34">
        <v>1.0392714495941461E-2</v>
      </c>
      <c r="I34">
        <v>0.31730769230769229</v>
      </c>
      <c r="J34">
        <v>0.48175182481751833</v>
      </c>
      <c r="K34">
        <v>66</v>
      </c>
      <c r="L34">
        <v>137</v>
      </c>
      <c r="M34">
        <v>137</v>
      </c>
      <c r="N34">
        <f t="shared" si="0"/>
        <v>0.62532981530343013</v>
      </c>
    </row>
    <row r="35" spans="1:14" x14ac:dyDescent="0.3">
      <c r="A35" t="s">
        <v>13</v>
      </c>
      <c r="B35" t="s">
        <v>47</v>
      </c>
      <c r="C35">
        <v>3</v>
      </c>
      <c r="D35">
        <v>0.1</v>
      </c>
      <c r="E35">
        <v>800</v>
      </c>
      <c r="F35">
        <v>3858.995049560061</v>
      </c>
      <c r="G35">
        <v>3600.595999956131</v>
      </c>
      <c r="H35">
        <v>4.4382882730429778E-2</v>
      </c>
      <c r="I35">
        <v>0.34975369458128081</v>
      </c>
      <c r="J35">
        <v>0.51824817518248179</v>
      </c>
      <c r="K35">
        <v>71</v>
      </c>
      <c r="L35">
        <v>137</v>
      </c>
      <c r="M35">
        <v>137</v>
      </c>
      <c r="N35">
        <f t="shared" si="0"/>
        <v>0.65171503957783639</v>
      </c>
    </row>
    <row r="36" spans="1:14" x14ac:dyDescent="0.3">
      <c r="A36" t="s">
        <v>13</v>
      </c>
      <c r="B36" t="s">
        <v>48</v>
      </c>
      <c r="C36">
        <v>3</v>
      </c>
      <c r="D36">
        <v>0.25</v>
      </c>
      <c r="E36">
        <v>800</v>
      </c>
      <c r="F36">
        <v>3979.1975126504331</v>
      </c>
      <c r="G36">
        <v>3600.2439999580379</v>
      </c>
      <c r="H36">
        <v>1.384396224623145E-2</v>
      </c>
      <c r="I36">
        <v>0.34313725490196079</v>
      </c>
      <c r="J36">
        <v>0.51094890510948909</v>
      </c>
      <c r="K36">
        <v>70</v>
      </c>
      <c r="L36">
        <v>137</v>
      </c>
      <c r="M36">
        <v>137</v>
      </c>
      <c r="N36">
        <f t="shared" si="0"/>
        <v>0.64643799472295516</v>
      </c>
    </row>
    <row r="37" spans="1:14" x14ac:dyDescent="0.3">
      <c r="A37" t="s">
        <v>13</v>
      </c>
      <c r="B37" t="s">
        <v>49</v>
      </c>
      <c r="C37">
        <v>3</v>
      </c>
      <c r="D37">
        <v>0.5</v>
      </c>
      <c r="E37">
        <v>800</v>
      </c>
      <c r="F37">
        <v>4012.526451459014</v>
      </c>
      <c r="G37">
        <v>3600.4210000038152</v>
      </c>
      <c r="H37">
        <v>9.1852584918675623E-3</v>
      </c>
      <c r="I37">
        <v>0.32367149758454111</v>
      </c>
      <c r="J37">
        <v>0.48905109489051102</v>
      </c>
      <c r="K37">
        <v>67</v>
      </c>
      <c r="L37">
        <v>137</v>
      </c>
      <c r="M37">
        <v>137</v>
      </c>
      <c r="N37">
        <f t="shared" si="0"/>
        <v>0.63060686015831136</v>
      </c>
    </row>
    <row r="38" spans="1:14" x14ac:dyDescent="0.3">
      <c r="A38" t="s">
        <v>13</v>
      </c>
      <c r="B38" t="s">
        <v>50</v>
      </c>
      <c r="C38">
        <v>0.5</v>
      </c>
      <c r="D38">
        <v>0</v>
      </c>
      <c r="E38">
        <v>1200</v>
      </c>
      <c r="F38">
        <v>1789.449549270671</v>
      </c>
      <c r="G38">
        <v>3600.3610000610352</v>
      </c>
      <c r="H38">
        <v>3.1070156554672038E-3</v>
      </c>
      <c r="I38">
        <v>0.33658536585365861</v>
      </c>
      <c r="J38">
        <v>0.5036496350364964</v>
      </c>
      <c r="K38">
        <v>69</v>
      </c>
      <c r="L38">
        <v>137</v>
      </c>
      <c r="M38">
        <v>137</v>
      </c>
      <c r="N38">
        <f t="shared" si="0"/>
        <v>0.64116094986807393</v>
      </c>
    </row>
    <row r="39" spans="1:14" x14ac:dyDescent="0.3">
      <c r="A39" t="s">
        <v>13</v>
      </c>
      <c r="B39" t="s">
        <v>51</v>
      </c>
      <c r="C39">
        <v>0.5</v>
      </c>
      <c r="D39">
        <v>0.1</v>
      </c>
      <c r="E39">
        <v>1200</v>
      </c>
      <c r="F39">
        <v>1794.13563604867</v>
      </c>
      <c r="G39">
        <v>3600.1840000152588</v>
      </c>
      <c r="H39">
        <v>3.1116221384565241E-3</v>
      </c>
      <c r="I39">
        <v>0.34313725490196079</v>
      </c>
      <c r="J39">
        <v>0.51094890510948909</v>
      </c>
      <c r="K39">
        <v>70</v>
      </c>
      <c r="L39">
        <v>137</v>
      </c>
      <c r="M39">
        <v>137</v>
      </c>
      <c r="N39">
        <f t="shared" si="0"/>
        <v>0.64643799472295516</v>
      </c>
    </row>
    <row r="40" spans="1:14" x14ac:dyDescent="0.3">
      <c r="A40" t="s">
        <v>13</v>
      </c>
      <c r="B40" t="s">
        <v>52</v>
      </c>
      <c r="C40">
        <v>0.5</v>
      </c>
      <c r="D40">
        <v>0.25</v>
      </c>
      <c r="E40">
        <v>1200</v>
      </c>
      <c r="F40">
        <v>1801.1490334526161</v>
      </c>
      <c r="G40">
        <v>3600.433000087738</v>
      </c>
      <c r="H40">
        <v>3.418867882780344E-3</v>
      </c>
      <c r="I40">
        <v>0.34313725490196079</v>
      </c>
      <c r="J40">
        <v>0.51094890510948909</v>
      </c>
      <c r="K40">
        <v>70</v>
      </c>
      <c r="L40">
        <v>137</v>
      </c>
      <c r="M40">
        <v>137</v>
      </c>
      <c r="N40">
        <f t="shared" si="0"/>
        <v>0.64643799472295516</v>
      </c>
    </row>
    <row r="41" spans="1:14" x14ac:dyDescent="0.3">
      <c r="A41" t="s">
        <v>13</v>
      </c>
      <c r="B41" t="s">
        <v>53</v>
      </c>
      <c r="C41">
        <v>0.5</v>
      </c>
      <c r="D41">
        <v>0.5</v>
      </c>
      <c r="E41">
        <v>1200</v>
      </c>
      <c r="F41">
        <v>1815.1012887703091</v>
      </c>
      <c r="G41">
        <v>3600.289999961853</v>
      </c>
      <c r="H41">
        <v>3.4842032976865681E-3</v>
      </c>
      <c r="I41">
        <v>0.33658536585365861</v>
      </c>
      <c r="J41">
        <v>0.5036496350364964</v>
      </c>
      <c r="K41">
        <v>69</v>
      </c>
      <c r="L41">
        <v>137</v>
      </c>
      <c r="M41">
        <v>137</v>
      </c>
      <c r="N41">
        <f t="shared" si="0"/>
        <v>0.64116094986807393</v>
      </c>
    </row>
    <row r="42" spans="1:14" x14ac:dyDescent="0.3">
      <c r="A42" t="s">
        <v>13</v>
      </c>
      <c r="B42" t="s">
        <v>54</v>
      </c>
      <c r="C42">
        <v>1</v>
      </c>
      <c r="D42">
        <v>0</v>
      </c>
      <c r="E42">
        <v>1200</v>
      </c>
      <c r="F42">
        <v>2219.239280691198</v>
      </c>
      <c r="G42">
        <v>3600.3029999732971</v>
      </c>
      <c r="H42">
        <v>4.5179846017349068E-3</v>
      </c>
      <c r="I42">
        <v>0.34975369458128081</v>
      </c>
      <c r="J42">
        <v>0.51824817518248179</v>
      </c>
      <c r="K42">
        <v>71</v>
      </c>
      <c r="L42">
        <v>137</v>
      </c>
      <c r="M42">
        <v>137</v>
      </c>
      <c r="N42">
        <f t="shared" si="0"/>
        <v>0.65171503957783639</v>
      </c>
    </row>
    <row r="43" spans="1:14" x14ac:dyDescent="0.3">
      <c r="A43" t="s">
        <v>13</v>
      </c>
      <c r="B43" t="s">
        <v>55</v>
      </c>
      <c r="C43">
        <v>1</v>
      </c>
      <c r="D43">
        <v>0.1</v>
      </c>
      <c r="E43">
        <v>1200</v>
      </c>
      <c r="F43">
        <v>2223.8953887469179</v>
      </c>
      <c r="G43">
        <v>3600.4010000228882</v>
      </c>
      <c r="H43">
        <v>5.0072505521102191E-3</v>
      </c>
      <c r="I43">
        <v>0.34975369458128081</v>
      </c>
      <c r="J43">
        <v>0.51824817518248179</v>
      </c>
      <c r="K43">
        <v>71</v>
      </c>
      <c r="L43">
        <v>137</v>
      </c>
      <c r="M43">
        <v>137</v>
      </c>
      <c r="N43">
        <f t="shared" si="0"/>
        <v>0.65171503957783639</v>
      </c>
    </row>
    <row r="44" spans="1:14" x14ac:dyDescent="0.3">
      <c r="A44" t="s">
        <v>13</v>
      </c>
      <c r="B44" t="s">
        <v>56</v>
      </c>
      <c r="C44">
        <v>1</v>
      </c>
      <c r="D44">
        <v>0.25</v>
      </c>
      <c r="E44">
        <v>1200</v>
      </c>
      <c r="F44">
        <v>2231.6114632150829</v>
      </c>
      <c r="G44">
        <v>3600.4070000648499</v>
      </c>
      <c r="H44">
        <v>5.1494004720031641E-3</v>
      </c>
      <c r="I44">
        <v>0.34975369458128081</v>
      </c>
      <c r="J44">
        <v>0.51824817518248179</v>
      </c>
      <c r="K44">
        <v>71</v>
      </c>
      <c r="L44">
        <v>137</v>
      </c>
      <c r="M44">
        <v>137</v>
      </c>
      <c r="N44">
        <f t="shared" si="0"/>
        <v>0.65171503957783639</v>
      </c>
    </row>
    <row r="45" spans="1:14" x14ac:dyDescent="0.3">
      <c r="A45" t="s">
        <v>13</v>
      </c>
      <c r="B45" t="s">
        <v>57</v>
      </c>
      <c r="C45">
        <v>1</v>
      </c>
      <c r="D45">
        <v>0.5</v>
      </c>
      <c r="E45">
        <v>1200</v>
      </c>
      <c r="F45">
        <v>2244.4715873286909</v>
      </c>
      <c r="G45">
        <v>3600.240999937057</v>
      </c>
      <c r="H45">
        <v>5.3879688468407233E-3</v>
      </c>
      <c r="I45">
        <v>0.34975369458128081</v>
      </c>
      <c r="J45">
        <v>0.51824817518248179</v>
      </c>
      <c r="K45">
        <v>71</v>
      </c>
      <c r="L45">
        <v>137</v>
      </c>
      <c r="M45">
        <v>137</v>
      </c>
      <c r="N45">
        <f t="shared" si="0"/>
        <v>0.65171503957783639</v>
      </c>
    </row>
    <row r="46" spans="1:14" x14ac:dyDescent="0.3">
      <c r="A46" t="s">
        <v>13</v>
      </c>
      <c r="B46" t="s">
        <v>58</v>
      </c>
      <c r="C46">
        <v>2</v>
      </c>
      <c r="D46">
        <v>0</v>
      </c>
      <c r="E46">
        <v>1200</v>
      </c>
      <c r="F46">
        <v>3082.0695550984201</v>
      </c>
      <c r="G46">
        <v>3600.400000095367</v>
      </c>
      <c r="H46">
        <v>6.575072209842367E-3</v>
      </c>
      <c r="I46">
        <v>0.32367149758454111</v>
      </c>
      <c r="J46">
        <v>0.48905109489051102</v>
      </c>
      <c r="K46">
        <v>67</v>
      </c>
      <c r="L46">
        <v>137</v>
      </c>
      <c r="M46">
        <v>137</v>
      </c>
      <c r="N46">
        <f t="shared" si="0"/>
        <v>0.63060686015831136</v>
      </c>
    </row>
    <row r="47" spans="1:14" x14ac:dyDescent="0.3">
      <c r="A47" t="s">
        <v>13</v>
      </c>
      <c r="B47" t="s">
        <v>59</v>
      </c>
      <c r="C47">
        <v>2</v>
      </c>
      <c r="D47">
        <v>0.1</v>
      </c>
      <c r="E47">
        <v>1200</v>
      </c>
      <c r="F47">
        <v>3087.9582424755108</v>
      </c>
      <c r="G47">
        <v>3600.219000101089</v>
      </c>
      <c r="H47">
        <v>6.4281970243981277E-3</v>
      </c>
      <c r="I47">
        <v>0.33658536585365861</v>
      </c>
      <c r="J47">
        <v>0.5036496350364964</v>
      </c>
      <c r="K47">
        <v>69</v>
      </c>
      <c r="L47">
        <v>137</v>
      </c>
      <c r="M47">
        <v>137</v>
      </c>
      <c r="N47">
        <f t="shared" si="0"/>
        <v>0.64116094986807393</v>
      </c>
    </row>
    <row r="48" spans="1:14" x14ac:dyDescent="0.3">
      <c r="A48" t="s">
        <v>13</v>
      </c>
      <c r="B48" t="s">
        <v>60</v>
      </c>
      <c r="C48">
        <v>2</v>
      </c>
      <c r="D48">
        <v>0.25</v>
      </c>
      <c r="E48">
        <v>1200</v>
      </c>
      <c r="F48">
        <v>3093.804482792134</v>
      </c>
      <c r="G48">
        <v>3600.2879998683929</v>
      </c>
      <c r="H48">
        <v>6.4988981607212119E-3</v>
      </c>
      <c r="I48">
        <v>0.3300970873786408</v>
      </c>
      <c r="J48">
        <v>0.49635036496350371</v>
      </c>
      <c r="K48">
        <v>68</v>
      </c>
      <c r="L48">
        <v>137</v>
      </c>
      <c r="M48">
        <v>137</v>
      </c>
      <c r="N48">
        <f t="shared" si="0"/>
        <v>0.63588390501319259</v>
      </c>
    </row>
    <row r="49" spans="1:14" x14ac:dyDescent="0.3">
      <c r="A49" t="s">
        <v>13</v>
      </c>
      <c r="B49" t="s">
        <v>61</v>
      </c>
      <c r="C49">
        <v>2</v>
      </c>
      <c r="D49">
        <v>0.5</v>
      </c>
      <c r="E49">
        <v>1200</v>
      </c>
      <c r="F49">
        <v>3107.113182918763</v>
      </c>
      <c r="G49">
        <v>3600.1909999847412</v>
      </c>
      <c r="H49">
        <v>6.2722399205319716E-3</v>
      </c>
      <c r="I49">
        <v>0.34313725490196079</v>
      </c>
      <c r="J49">
        <v>0.51094890510948909</v>
      </c>
      <c r="K49">
        <v>70</v>
      </c>
      <c r="L49">
        <v>137</v>
      </c>
      <c r="M49">
        <v>137</v>
      </c>
      <c r="N49">
        <f t="shared" si="0"/>
        <v>0.64643799472295516</v>
      </c>
    </row>
    <row r="50" spans="1:14" x14ac:dyDescent="0.3">
      <c r="A50" t="s">
        <v>13</v>
      </c>
      <c r="B50" t="s">
        <v>62</v>
      </c>
      <c r="C50">
        <v>3</v>
      </c>
      <c r="D50">
        <v>0</v>
      </c>
      <c r="E50">
        <v>1200</v>
      </c>
      <c r="F50">
        <v>3947.9290670793312</v>
      </c>
      <c r="G50">
        <v>3600.2520000934601</v>
      </c>
      <c r="H50">
        <v>7.3747070836886726E-3</v>
      </c>
      <c r="I50">
        <v>0.33658536585365861</v>
      </c>
      <c r="J50">
        <v>0.5036496350364964</v>
      </c>
      <c r="K50">
        <v>69</v>
      </c>
      <c r="L50">
        <v>137</v>
      </c>
      <c r="M50">
        <v>137</v>
      </c>
      <c r="N50">
        <f t="shared" si="0"/>
        <v>0.64116094986807393</v>
      </c>
    </row>
    <row r="51" spans="1:14" x14ac:dyDescent="0.3">
      <c r="A51" t="s">
        <v>13</v>
      </c>
      <c r="B51" t="s">
        <v>63</v>
      </c>
      <c r="C51">
        <v>3</v>
      </c>
      <c r="D51">
        <v>0.1</v>
      </c>
      <c r="E51">
        <v>1200</v>
      </c>
      <c r="F51">
        <v>3952.3904332330512</v>
      </c>
      <c r="G51">
        <v>3600.375</v>
      </c>
      <c r="H51">
        <v>7.3572829734572737E-3</v>
      </c>
      <c r="I51">
        <v>0.33658536585365861</v>
      </c>
      <c r="J51">
        <v>0.5036496350364964</v>
      </c>
      <c r="K51">
        <v>69</v>
      </c>
      <c r="L51">
        <v>137</v>
      </c>
      <c r="M51">
        <v>137</v>
      </c>
      <c r="N51">
        <f t="shared" si="0"/>
        <v>0.64116094986807393</v>
      </c>
    </row>
    <row r="52" spans="1:14" x14ac:dyDescent="0.3">
      <c r="A52" t="s">
        <v>13</v>
      </c>
      <c r="B52" t="s">
        <v>64</v>
      </c>
      <c r="C52">
        <v>3</v>
      </c>
      <c r="D52">
        <v>0.25</v>
      </c>
      <c r="E52">
        <v>1200</v>
      </c>
      <c r="F52">
        <v>3928.8797599194372</v>
      </c>
      <c r="G52">
        <v>3600.3380000591278</v>
      </c>
      <c r="H52">
        <v>1.559129976616782E-2</v>
      </c>
      <c r="I52">
        <v>0.32367149758454111</v>
      </c>
      <c r="J52">
        <v>0.48905109489051102</v>
      </c>
      <c r="K52">
        <v>67</v>
      </c>
      <c r="L52">
        <v>137</v>
      </c>
      <c r="M52">
        <v>137</v>
      </c>
      <c r="N52">
        <f t="shared" si="0"/>
        <v>0.63060686015831136</v>
      </c>
    </row>
    <row r="53" spans="1:14" x14ac:dyDescent="0.3">
      <c r="A53" t="s">
        <v>13</v>
      </c>
      <c r="B53" t="s">
        <v>65</v>
      </c>
      <c r="C53">
        <v>3</v>
      </c>
      <c r="D53">
        <v>0.5</v>
      </c>
      <c r="E53">
        <v>1200</v>
      </c>
      <c r="F53">
        <v>3967.676140674811</v>
      </c>
      <c r="G53">
        <v>3600.1999998092651</v>
      </c>
      <c r="H53">
        <v>8.9277186645821717E-3</v>
      </c>
      <c r="I53">
        <v>0.3300970873786408</v>
      </c>
      <c r="J53">
        <v>0.49635036496350371</v>
      </c>
      <c r="K53">
        <v>68</v>
      </c>
      <c r="L53">
        <v>137</v>
      </c>
      <c r="M53">
        <v>137</v>
      </c>
      <c r="N53">
        <f t="shared" si="0"/>
        <v>0.63588390501319259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Paris Small</vt:lpstr>
      <vt:lpstr>Paris Medium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Ozgurbuz, Ekin</dc:creator>
  <cp:lastModifiedBy>Ozgurbuz, Ekin</cp:lastModifiedBy>
  <dcterms:created xsi:type="dcterms:W3CDTF">2026-06-03T11:21:44Z</dcterms:created>
  <dcterms:modified xsi:type="dcterms:W3CDTF">2026-06-03T11:28:33Z</dcterms:modified>
</cp:coreProperties>
</file>